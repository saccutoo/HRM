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NovaOn\Tai lieu yeu cau nghiep vu\HR Luong\"/>
    </mc:Choice>
  </mc:AlternateContent>
  <bookViews>
    <workbookView xWindow="0" yWindow="0" windowWidth="20490" windowHeight="5955" tabRatio="794" activeTab="1"/>
  </bookViews>
  <sheets>
    <sheet name="1.1 HR-Ho so nhan su" sheetId="4" r:id="rId1"/>
    <sheet name="1.2 HR-Data luong" sheetId="1" r:id="rId2"/>
    <sheet name="2.1 KT-Update ty le" sheetId="13" r:id="rId3"/>
    <sheet name="2.2 KT-THUONG" sheetId="3" r:id="rId4"/>
    <sheet name="2.3 KT-GIAM TRU" sheetId="12" r:id="rId5"/>
    <sheet name="3.1 ERP-MUC LUONG" sheetId="7" r:id="rId6"/>
    <sheet name="3.2 ERP-PC THAM NIEN" sheetId="8" r:id="rId7"/>
    <sheet name="3.3 ERP-PC LAPTOP va PC BD" sheetId="9" r:id="rId8"/>
    <sheet name="3.4 ERP-BHXH" sheetId="10" r:id="rId9"/>
    <sheet name="3.5 ERP-THUE TNCN" sheetId="11" r:id="rId10"/>
    <sheet name="4. ERP-BANG LUONG" sheetId="2" r:id="rId11"/>
    <sheet name="4. ERP-BANG LUONG v2" sheetId="16" r:id="rId12"/>
    <sheet name="5. ERP-Phieu luong" sheetId="5" r:id="rId13"/>
    <sheet name="6. ERP-Lenh chuyen luong" sheetId="6" r:id="rId14"/>
    <sheet name="7. ERP-Bao cao" sheetId="14" r:id="rId15"/>
    <sheet name="Mục lục" sheetId="15" r:id="rId16"/>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E9" i="16" l="1"/>
  <c r="CI8" i="16"/>
  <c r="D12" i="13"/>
  <c r="D13" i="13"/>
  <c r="E13" i="13"/>
  <c r="BF8" i="16"/>
  <c r="BG8" i="16"/>
  <c r="BI8" i="16"/>
  <c r="BJ8" i="16"/>
  <c r="BS8" i="16"/>
  <c r="BW8" i="16"/>
  <c r="Y7" i="2"/>
  <c r="L6" i="9"/>
  <c r="L15" i="6" l="1"/>
  <c r="L16" i="6"/>
  <c r="L17" i="6"/>
  <c r="L18" i="6"/>
  <c r="L19" i="6"/>
  <c r="L20" i="6"/>
  <c r="L14" i="6"/>
  <c r="K15" i="6"/>
  <c r="K16" i="6"/>
  <c r="K17" i="6"/>
  <c r="K18" i="6"/>
  <c r="K19" i="6"/>
  <c r="K20" i="6"/>
  <c r="K14" i="6"/>
  <c r="H15" i="6"/>
  <c r="H16" i="6"/>
  <c r="H17" i="6"/>
  <c r="H18" i="6"/>
  <c r="H19" i="6"/>
  <c r="H20" i="6"/>
  <c r="H14" i="6"/>
  <c r="G15" i="6"/>
  <c r="G16" i="6"/>
  <c r="G17" i="6"/>
  <c r="G18" i="6"/>
  <c r="G19" i="6"/>
  <c r="G20" i="6"/>
  <c r="G14" i="6"/>
  <c r="F15" i="6"/>
  <c r="F16" i="6"/>
  <c r="F17" i="6"/>
  <c r="F18" i="6"/>
  <c r="F19" i="6"/>
  <c r="F20" i="6"/>
  <c r="F14" i="6"/>
  <c r="E15" i="6"/>
  <c r="E16" i="6"/>
  <c r="E17" i="6"/>
  <c r="E18" i="6"/>
  <c r="E19" i="6"/>
  <c r="E20" i="6"/>
  <c r="E14" i="6"/>
  <c r="D15" i="6"/>
  <c r="D16" i="6"/>
  <c r="D17" i="6"/>
  <c r="D18" i="6"/>
  <c r="D19" i="6"/>
  <c r="D20" i="6"/>
  <c r="D14" i="6"/>
  <c r="B10" i="5"/>
  <c r="CD6" i="16"/>
  <c r="CB9" i="16"/>
  <c r="CB10" i="16"/>
  <c r="CB11" i="16"/>
  <c r="CB12" i="16"/>
  <c r="CB13" i="16"/>
  <c r="CB14" i="16"/>
  <c r="CB15" i="16"/>
  <c r="CB16" i="16"/>
  <c r="CB17" i="16"/>
  <c r="CB8" i="16"/>
  <c r="CB6" i="16"/>
  <c r="BP9" i="16"/>
  <c r="BP10" i="16"/>
  <c r="BP11" i="16"/>
  <c r="BP12" i="16"/>
  <c r="BP13" i="16"/>
  <c r="BP14" i="16"/>
  <c r="BP15" i="16"/>
  <c r="BP16" i="16"/>
  <c r="BP17" i="16"/>
  <c r="BP8" i="16"/>
  <c r="BP6" i="16"/>
  <c r="AE7" i="11"/>
  <c r="CH17" i="16"/>
  <c r="AD7" i="11"/>
  <c r="CC8" i="16"/>
  <c r="CD8" i="16" s="1"/>
  <c r="Y7" i="11"/>
  <c r="BV9" i="16"/>
  <c r="BV10" i="16"/>
  <c r="BV11" i="16"/>
  <c r="BV12" i="16"/>
  <c r="BV13" i="16"/>
  <c r="BV14" i="16"/>
  <c r="BV15" i="16"/>
  <c r="BV16" i="16"/>
  <c r="BV17" i="16"/>
  <c r="BV8" i="16"/>
  <c r="CX6" i="16"/>
  <c r="CV6" i="16"/>
  <c r="CU6" i="16"/>
  <c r="CT6" i="16"/>
  <c r="CT9" i="16" s="1"/>
  <c r="BX9" i="16" s="1"/>
  <c r="CS6" i="16"/>
  <c r="DB6" i="16" s="1"/>
  <c r="CR6" i="16"/>
  <c r="CQ6" i="16"/>
  <c r="CP6" i="16"/>
  <c r="Q6" i="9"/>
  <c r="P6" i="9"/>
  <c r="N6" i="9"/>
  <c r="K6" i="9"/>
  <c r="O6" i="9" s="1"/>
  <c r="S7" i="2" s="1"/>
  <c r="M17" i="16"/>
  <c r="L17" i="16"/>
  <c r="K17" i="16"/>
  <c r="J17" i="16"/>
  <c r="I17" i="16"/>
  <c r="H17" i="16"/>
  <c r="G17" i="16"/>
  <c r="F17" i="16"/>
  <c r="E17" i="16"/>
  <c r="D17" i="16"/>
  <c r="EG17" i="16" s="1"/>
  <c r="M16" i="16"/>
  <c r="L16" i="16"/>
  <c r="K16" i="16"/>
  <c r="J16" i="16"/>
  <c r="I16" i="16"/>
  <c r="H16" i="16"/>
  <c r="G16" i="16"/>
  <c r="F16" i="16"/>
  <c r="E16" i="16"/>
  <c r="D16" i="16"/>
  <c r="EF16" i="16" s="1"/>
  <c r="M15" i="16"/>
  <c r="L15" i="16"/>
  <c r="K15" i="16"/>
  <c r="J15" i="16"/>
  <c r="I15" i="16"/>
  <c r="H15" i="16"/>
  <c r="G15" i="16"/>
  <c r="F15" i="16"/>
  <c r="E15" i="16"/>
  <c r="D15" i="16"/>
  <c r="EE15" i="16" s="1"/>
  <c r="M14" i="16"/>
  <c r="L14" i="16"/>
  <c r="K14" i="16"/>
  <c r="J14" i="16"/>
  <c r="I14" i="16"/>
  <c r="H14" i="16"/>
  <c r="G14" i="16"/>
  <c r="F14" i="16"/>
  <c r="E14" i="16"/>
  <c r="D14" i="16"/>
  <c r="DE14" i="16" s="1"/>
  <c r="M13" i="16"/>
  <c r="L13" i="16"/>
  <c r="K13" i="16"/>
  <c r="J13" i="16"/>
  <c r="I13" i="16"/>
  <c r="H13" i="16"/>
  <c r="G13" i="16"/>
  <c r="F13" i="16"/>
  <c r="E13" i="16"/>
  <c r="D13" i="16"/>
  <c r="EG13" i="16" s="1"/>
  <c r="M12" i="16"/>
  <c r="L12" i="16"/>
  <c r="K12" i="16"/>
  <c r="J12" i="16"/>
  <c r="I12" i="16"/>
  <c r="H12" i="16"/>
  <c r="G12" i="16"/>
  <c r="F12" i="16"/>
  <c r="E12" i="16"/>
  <c r="D12" i="16"/>
  <c r="EF12" i="16" s="1"/>
  <c r="M11" i="16"/>
  <c r="L11" i="16"/>
  <c r="K11" i="16"/>
  <c r="J11" i="16"/>
  <c r="I11" i="16"/>
  <c r="H11" i="16"/>
  <c r="G11" i="16"/>
  <c r="F11" i="16"/>
  <c r="E11" i="16"/>
  <c r="D11" i="16"/>
  <c r="EE11" i="16" s="1"/>
  <c r="DL10" i="16"/>
  <c r="I16" i="6" s="1"/>
  <c r="M10" i="16"/>
  <c r="L10" i="16"/>
  <c r="K10" i="16"/>
  <c r="J10" i="16"/>
  <c r="I10" i="16"/>
  <c r="H10" i="16"/>
  <c r="G10" i="16"/>
  <c r="F10" i="16"/>
  <c r="E10" i="16"/>
  <c r="D10" i="16"/>
  <c r="DE10" i="16" s="1"/>
  <c r="M9" i="16"/>
  <c r="L9" i="16"/>
  <c r="K9" i="16"/>
  <c r="J9" i="16"/>
  <c r="I9" i="16"/>
  <c r="H9" i="16"/>
  <c r="G9" i="16"/>
  <c r="F9" i="16"/>
  <c r="E9" i="16"/>
  <c r="D9" i="16"/>
  <c r="M8" i="16"/>
  <c r="L8" i="16"/>
  <c r="K8" i="16"/>
  <c r="J8" i="16"/>
  <c r="I8" i="16"/>
  <c r="H8" i="16"/>
  <c r="G8" i="16"/>
  <c r="F8" i="16"/>
  <c r="E8" i="16"/>
  <c r="D8" i="16"/>
  <c r="ED8" i="16" s="1"/>
  <c r="CI12" i="16" l="1"/>
  <c r="BW17" i="16"/>
  <c r="CC14" i="16"/>
  <c r="CD14" i="16" s="1"/>
  <c r="CH13" i="16"/>
  <c r="CI16" i="16"/>
  <c r="BW13" i="16"/>
  <c r="CC10" i="16"/>
  <c r="CD10" i="16" s="1"/>
  <c r="BW16" i="16"/>
  <c r="BW12" i="16"/>
  <c r="CC17" i="16"/>
  <c r="CD17" i="16" s="1"/>
  <c r="CC13" i="16"/>
  <c r="CD13" i="16" s="1"/>
  <c r="CC9" i="16"/>
  <c r="CD9" i="16" s="1"/>
  <c r="CH16" i="16"/>
  <c r="CH12" i="16"/>
  <c r="CI15" i="16"/>
  <c r="CJ15" i="16" s="1"/>
  <c r="CI11" i="16"/>
  <c r="BW15" i="16"/>
  <c r="BW11" i="16"/>
  <c r="CC16" i="16"/>
  <c r="CD16" i="16" s="1"/>
  <c r="CE16" i="16" s="1"/>
  <c r="CC12" i="16"/>
  <c r="CD12" i="16" s="1"/>
  <c r="CH15" i="16"/>
  <c r="CH11" i="16"/>
  <c r="CI14" i="16"/>
  <c r="CI10" i="16"/>
  <c r="BW9" i="16"/>
  <c r="CH9" i="16"/>
  <c r="BW14" i="16"/>
  <c r="BW10" i="16"/>
  <c r="CC15" i="16"/>
  <c r="CD15" i="16" s="1"/>
  <c r="CC11" i="16"/>
  <c r="CD11" i="16" s="1"/>
  <c r="CH8" i="16"/>
  <c r="CH14" i="16"/>
  <c r="CH10" i="16"/>
  <c r="CI17" i="16"/>
  <c r="CI13" i="16"/>
  <c r="CI9" i="16"/>
  <c r="CM8" i="16"/>
  <c r="CM9" i="16"/>
  <c r="CM10" i="16"/>
  <c r="CM11" i="16"/>
  <c r="CM12" i="16"/>
  <c r="CM13" i="16"/>
  <c r="CM14" i="16"/>
  <c r="CM15" i="16"/>
  <c r="CM16" i="16"/>
  <c r="CM17" i="16"/>
  <c r="CN8" i="16"/>
  <c r="CN9" i="16"/>
  <c r="CN10" i="16"/>
  <c r="CN11" i="16"/>
  <c r="CN12" i="16"/>
  <c r="CN13" i="16"/>
  <c r="CN14" i="16"/>
  <c r="CN15" i="16"/>
  <c r="CN16" i="16"/>
  <c r="CN17" i="16"/>
  <c r="CK8" i="16"/>
  <c r="CK9" i="16"/>
  <c r="CO9" i="16" s="1"/>
  <c r="CK10" i="16"/>
  <c r="CK11" i="16"/>
  <c r="CO11" i="16" s="1"/>
  <c r="CK12" i="16"/>
  <c r="CK13" i="16"/>
  <c r="CO13" i="16" s="1"/>
  <c r="CK14" i="16"/>
  <c r="CK15" i="16"/>
  <c r="CK16" i="16"/>
  <c r="CO16" i="16" s="1"/>
  <c r="CK17" i="16"/>
  <c r="CO17" i="16" s="1"/>
  <c r="CL8" i="16"/>
  <c r="CL9" i="16"/>
  <c r="CL10" i="16"/>
  <c r="CL11" i="16"/>
  <c r="CL12" i="16"/>
  <c r="CL13" i="16"/>
  <c r="CL14" i="16"/>
  <c r="CL15" i="16"/>
  <c r="CL16" i="16"/>
  <c r="CL17" i="16"/>
  <c r="CY6" i="16"/>
  <c r="CZ6" i="16"/>
  <c r="CW6" i="16"/>
  <c r="DA6" i="16"/>
  <c r="AY15" i="16"/>
  <c r="AY11" i="16"/>
  <c r="AX10" i="16"/>
  <c r="AX14" i="16"/>
  <c r="AX8" i="16"/>
  <c r="AY16" i="16"/>
  <c r="AX15" i="16"/>
  <c r="AY12" i="16"/>
  <c r="AX11" i="16"/>
  <c r="AY17" i="16"/>
  <c r="AX16" i="16"/>
  <c r="AY13" i="16"/>
  <c r="AX12" i="16"/>
  <c r="AY9" i="16"/>
  <c r="AY8" i="16"/>
  <c r="AX17" i="16"/>
  <c r="AY14" i="16"/>
  <c r="AX13" i="16"/>
  <c r="AY10" i="16"/>
  <c r="AX9" i="16"/>
  <c r="AU17" i="16"/>
  <c r="AU13" i="16"/>
  <c r="AU8" i="16"/>
  <c r="AV10" i="16"/>
  <c r="AZ10" i="16" s="1"/>
  <c r="AU9" i="16"/>
  <c r="AT16" i="16"/>
  <c r="AT12" i="16"/>
  <c r="AT17" i="16"/>
  <c r="AV15" i="16"/>
  <c r="AZ15" i="16" s="1"/>
  <c r="AU14" i="16"/>
  <c r="AT13" i="16"/>
  <c r="AV11" i="16"/>
  <c r="AZ11" i="16" s="1"/>
  <c r="AU10" i="16"/>
  <c r="AT9" i="16"/>
  <c r="AT8" i="16"/>
  <c r="AV8" i="16"/>
  <c r="AZ8" i="16" s="1"/>
  <c r="AV16" i="16"/>
  <c r="AZ16" i="16" s="1"/>
  <c r="AU15" i="16"/>
  <c r="AT14" i="16"/>
  <c r="AV12" i="16"/>
  <c r="AZ12" i="16" s="1"/>
  <c r="AU11" i="16"/>
  <c r="AT10" i="16"/>
  <c r="AV14" i="16"/>
  <c r="AZ14" i="16" s="1"/>
  <c r="AV17" i="16"/>
  <c r="AZ17" i="16" s="1"/>
  <c r="AU16" i="16"/>
  <c r="AT15" i="16"/>
  <c r="AV13" i="16"/>
  <c r="AZ13" i="16" s="1"/>
  <c r="AU12" i="16"/>
  <c r="AT11" i="16"/>
  <c r="AV9" i="16"/>
  <c r="AZ9" i="16" s="1"/>
  <c r="V9" i="16"/>
  <c r="AD9" i="16" s="1"/>
  <c r="AA10" i="16"/>
  <c r="Z9" i="16"/>
  <c r="AB10" i="16"/>
  <c r="V13" i="16"/>
  <c r="AD13" i="16" s="1"/>
  <c r="X15" i="16"/>
  <c r="W17" i="16"/>
  <c r="W10" i="16"/>
  <c r="X11" i="16"/>
  <c r="W13" i="16"/>
  <c r="Y15" i="16"/>
  <c r="Z17" i="16"/>
  <c r="AB11" i="16"/>
  <c r="AA13" i="16"/>
  <c r="V17" i="16"/>
  <c r="AJ17" i="16" s="1"/>
  <c r="Y8" i="16"/>
  <c r="X10" i="16"/>
  <c r="Y11" i="16"/>
  <c r="Z13" i="16"/>
  <c r="AB15" i="16"/>
  <c r="AA17" i="16"/>
  <c r="Y16" i="16"/>
  <c r="Z12" i="16"/>
  <c r="X14" i="16"/>
  <c r="AB14" i="16"/>
  <c r="Y12" i="16"/>
  <c r="V8" i="16"/>
  <c r="Z8" i="16"/>
  <c r="W9" i="16"/>
  <c r="AA9" i="16"/>
  <c r="V12" i="16"/>
  <c r="V16" i="16"/>
  <c r="Z16" i="16"/>
  <c r="W8" i="16"/>
  <c r="AA8" i="16"/>
  <c r="X9" i="16"/>
  <c r="AB9" i="16"/>
  <c r="Y10" i="16"/>
  <c r="V11" i="16"/>
  <c r="Z11" i="16"/>
  <c r="W12" i="16"/>
  <c r="AA12" i="16"/>
  <c r="X13" i="16"/>
  <c r="AB13" i="16"/>
  <c r="Y14" i="16"/>
  <c r="V15" i="16"/>
  <c r="Z15" i="16"/>
  <c r="W16" i="16"/>
  <c r="AA16" i="16"/>
  <c r="X17" i="16"/>
  <c r="AB17" i="16"/>
  <c r="W14" i="16"/>
  <c r="AA14" i="16"/>
  <c r="AD17" i="16"/>
  <c r="X8" i="16"/>
  <c r="AB8" i="16"/>
  <c r="Y9" i="16"/>
  <c r="V10" i="16"/>
  <c r="Z10" i="16"/>
  <c r="W11" i="16"/>
  <c r="AA11" i="16"/>
  <c r="X12" i="16"/>
  <c r="AB12" i="16"/>
  <c r="Y13" i="16"/>
  <c r="V14" i="16"/>
  <c r="Z14" i="16"/>
  <c r="W15" i="16"/>
  <c r="AA15" i="16"/>
  <c r="X16" i="16"/>
  <c r="AB16" i="16"/>
  <c r="Y17" i="16"/>
  <c r="O10" i="16"/>
  <c r="O14" i="16"/>
  <c r="S10" i="16"/>
  <c r="S14" i="16"/>
  <c r="Q12" i="16"/>
  <c r="Q16" i="16"/>
  <c r="R9" i="16"/>
  <c r="U12" i="16"/>
  <c r="U16" i="16"/>
  <c r="P15" i="16"/>
  <c r="T15" i="16"/>
  <c r="R17" i="16"/>
  <c r="R8" i="16"/>
  <c r="O9" i="16"/>
  <c r="AC9" i="16" s="1"/>
  <c r="AF9" i="16" s="1"/>
  <c r="S9" i="16"/>
  <c r="AE9" i="16" s="1"/>
  <c r="AK9" i="16" s="1"/>
  <c r="P10" i="16"/>
  <c r="T10" i="16"/>
  <c r="Q11" i="16"/>
  <c r="U11" i="16"/>
  <c r="R12" i="16"/>
  <c r="O13" i="16"/>
  <c r="AC13" i="16" s="1"/>
  <c r="AF13" i="16" s="1"/>
  <c r="S13" i="16"/>
  <c r="P14" i="16"/>
  <c r="T14" i="16"/>
  <c r="Q15" i="16"/>
  <c r="U15" i="16"/>
  <c r="R16" i="16"/>
  <c r="O17" i="16"/>
  <c r="AC17" i="16" s="1"/>
  <c r="AF17" i="16" s="1"/>
  <c r="S17" i="16"/>
  <c r="U8" i="16"/>
  <c r="P11" i="16"/>
  <c r="R13" i="16"/>
  <c r="BC8" i="16"/>
  <c r="BQ8" i="16" s="1"/>
  <c r="O8" i="16"/>
  <c r="S8" i="16"/>
  <c r="P9" i="16"/>
  <c r="T9" i="16"/>
  <c r="Q10" i="16"/>
  <c r="U10" i="16"/>
  <c r="R11" i="16"/>
  <c r="O12" i="16"/>
  <c r="S12" i="16"/>
  <c r="P13" i="16"/>
  <c r="T13" i="16"/>
  <c r="Q14" i="16"/>
  <c r="U14" i="16"/>
  <c r="R15" i="16"/>
  <c r="O16" i="16"/>
  <c r="S16" i="16"/>
  <c r="P17" i="16"/>
  <c r="T17" i="16"/>
  <c r="Q8" i="16"/>
  <c r="T11" i="16"/>
  <c r="P8" i="16"/>
  <c r="T8" i="16"/>
  <c r="Q9" i="16"/>
  <c r="U9" i="16"/>
  <c r="R10" i="16"/>
  <c r="O11" i="16"/>
  <c r="AC11" i="16" s="1"/>
  <c r="AF11" i="16" s="1"/>
  <c r="S11" i="16"/>
  <c r="P12" i="16"/>
  <c r="T12" i="16"/>
  <c r="Q13" i="16"/>
  <c r="U13" i="16"/>
  <c r="R14" i="16"/>
  <c r="O15" i="16"/>
  <c r="AC15" i="16" s="1"/>
  <c r="AF15" i="16" s="1"/>
  <c r="S15" i="16"/>
  <c r="P16" i="16"/>
  <c r="T16" i="16"/>
  <c r="Q17" i="16"/>
  <c r="U17" i="16"/>
  <c r="BC11" i="16"/>
  <c r="BQ11" i="16" s="1"/>
  <c r="AS12" i="16"/>
  <c r="EE10" i="16"/>
  <c r="BG11" i="16"/>
  <c r="BL8" i="16"/>
  <c r="BT8" i="16" s="1"/>
  <c r="EB11" i="16"/>
  <c r="DH13" i="16"/>
  <c r="N16" i="16"/>
  <c r="DK16" i="16" s="1"/>
  <c r="DG8" i="16"/>
  <c r="EG12" i="16"/>
  <c r="BG15" i="16"/>
  <c r="N8" i="16"/>
  <c r="DK8" i="16" s="1"/>
  <c r="DH8" i="16"/>
  <c r="DF11" i="16"/>
  <c r="N12" i="16"/>
  <c r="DK12" i="16" s="1"/>
  <c r="DG12" i="16"/>
  <c r="BJ14" i="16"/>
  <c r="EB15" i="16"/>
  <c r="EC8" i="16"/>
  <c r="BJ9" i="16"/>
  <c r="BK8" i="16"/>
  <c r="EE8" i="16"/>
  <c r="BL12" i="16"/>
  <c r="BT12" i="16" s="1"/>
  <c r="BI13" i="16"/>
  <c r="ED13" i="16"/>
  <c r="BK15" i="16"/>
  <c r="EF15" i="16"/>
  <c r="AS16" i="16"/>
  <c r="DG16" i="16"/>
  <c r="BM17" i="16"/>
  <c r="BU17" i="16" s="1"/>
  <c r="ED9" i="16"/>
  <c r="BK11" i="16"/>
  <c r="EF11" i="16"/>
  <c r="BM13" i="16"/>
  <c r="BU13" i="16" s="1"/>
  <c r="BH16" i="16"/>
  <c r="EC16" i="16"/>
  <c r="BJ10" i="16"/>
  <c r="AS8" i="16"/>
  <c r="BH8" i="16"/>
  <c r="BM8" i="16"/>
  <c r="BU8" i="16" s="1"/>
  <c r="DF8" i="16"/>
  <c r="BH12" i="16"/>
  <c r="EC12" i="16"/>
  <c r="BC15" i="16"/>
  <c r="BQ15" i="16" s="1"/>
  <c r="DF15" i="16"/>
  <c r="BL16" i="16"/>
  <c r="BT16" i="16" s="1"/>
  <c r="EG16" i="16"/>
  <c r="DH17" i="16"/>
  <c r="BI17" i="16"/>
  <c r="ED17" i="16"/>
  <c r="EF8" i="16"/>
  <c r="EB8" i="16"/>
  <c r="DE8" i="16"/>
  <c r="DI8" i="16"/>
  <c r="EG8" i="16"/>
  <c r="ED10" i="16"/>
  <c r="DH10" i="16"/>
  <c r="BM10" i="16"/>
  <c r="BU10" i="16" s="1"/>
  <c r="BI10" i="16"/>
  <c r="EG10" i="16"/>
  <c r="EC10" i="16"/>
  <c r="DG10" i="16"/>
  <c r="BL10" i="16"/>
  <c r="BT10" i="16" s="1"/>
  <c r="BH10" i="16"/>
  <c r="AS10" i="16"/>
  <c r="N10" i="16"/>
  <c r="EF10" i="16"/>
  <c r="EB10" i="16"/>
  <c r="DF10" i="16"/>
  <c r="BK10" i="16"/>
  <c r="BG10" i="16"/>
  <c r="BC10" i="16"/>
  <c r="BQ10" i="16" s="1"/>
  <c r="BF10" i="16"/>
  <c r="DI10" i="16"/>
  <c r="EE14" i="16"/>
  <c r="EG9" i="16"/>
  <c r="EC9" i="16"/>
  <c r="DH9" i="16"/>
  <c r="BM9" i="16"/>
  <c r="BU9" i="16" s="1"/>
  <c r="BI9" i="16"/>
  <c r="EF9" i="16"/>
  <c r="EB9" i="16"/>
  <c r="DG9" i="16"/>
  <c r="BL9" i="16"/>
  <c r="BT9" i="16" s="1"/>
  <c r="BH9" i="16"/>
  <c r="AS9" i="16"/>
  <c r="N9" i="16"/>
  <c r="DK9" i="16" s="1"/>
  <c r="DL9" i="16" s="1"/>
  <c r="I15" i="6" s="1"/>
  <c r="EE9" i="16"/>
  <c r="DF9" i="16"/>
  <c r="BK9" i="16"/>
  <c r="BG9" i="16"/>
  <c r="BC9" i="16"/>
  <c r="BQ9" i="16" s="1"/>
  <c r="BF9" i="16"/>
  <c r="DI9" i="16"/>
  <c r="ED14" i="16"/>
  <c r="DH14" i="16"/>
  <c r="BM14" i="16"/>
  <c r="BU14" i="16" s="1"/>
  <c r="BI14" i="16"/>
  <c r="EG14" i="16"/>
  <c r="EC14" i="16"/>
  <c r="DG14" i="16"/>
  <c r="BL14" i="16"/>
  <c r="BT14" i="16" s="1"/>
  <c r="BH14" i="16"/>
  <c r="AS14" i="16"/>
  <c r="N14" i="16"/>
  <c r="DK14" i="16" s="1"/>
  <c r="EF14" i="16"/>
  <c r="EB14" i="16"/>
  <c r="DF14" i="16"/>
  <c r="BK14" i="16"/>
  <c r="BG14" i="16"/>
  <c r="BC14" i="16"/>
  <c r="BQ14" i="16" s="1"/>
  <c r="BF14" i="16"/>
  <c r="DI14" i="16"/>
  <c r="N11" i="16"/>
  <c r="DK11" i="16" s="1"/>
  <c r="AS11" i="16"/>
  <c r="BH11" i="16"/>
  <c r="BL11" i="16"/>
  <c r="BT11" i="16" s="1"/>
  <c r="DG11" i="16"/>
  <c r="EC11" i="16"/>
  <c r="EG11" i="16"/>
  <c r="BI12" i="16"/>
  <c r="BM12" i="16"/>
  <c r="BU12" i="16" s="1"/>
  <c r="DH12" i="16"/>
  <c r="ED12" i="16"/>
  <c r="BF13" i="16"/>
  <c r="BJ13" i="16"/>
  <c r="DE13" i="16"/>
  <c r="DI13" i="16"/>
  <c r="EE13" i="16"/>
  <c r="N15" i="16"/>
  <c r="DK15" i="16" s="1"/>
  <c r="AS15" i="16"/>
  <c r="BH15" i="16"/>
  <c r="BL15" i="16"/>
  <c r="BT15" i="16" s="1"/>
  <c r="DG15" i="16"/>
  <c r="EC15" i="16"/>
  <c r="EG15" i="16"/>
  <c r="BI16" i="16"/>
  <c r="BM16" i="16"/>
  <c r="BU16" i="16" s="1"/>
  <c r="DH16" i="16"/>
  <c r="ED16" i="16"/>
  <c r="BF17" i="16"/>
  <c r="BJ17" i="16"/>
  <c r="DE17" i="16"/>
  <c r="DI17" i="16"/>
  <c r="EE17" i="16"/>
  <c r="BI11" i="16"/>
  <c r="BM11" i="16"/>
  <c r="BU11" i="16" s="1"/>
  <c r="DH11" i="16"/>
  <c r="ED11" i="16"/>
  <c r="BF12" i="16"/>
  <c r="BJ12" i="16"/>
  <c r="DE12" i="16"/>
  <c r="DI12" i="16"/>
  <c r="EE12" i="16"/>
  <c r="BC13" i="16"/>
  <c r="BQ13" i="16" s="1"/>
  <c r="BG13" i="16"/>
  <c r="BK13" i="16"/>
  <c r="DF13" i="16"/>
  <c r="EB13" i="16"/>
  <c r="EF13" i="16"/>
  <c r="BI15" i="16"/>
  <c r="BM15" i="16"/>
  <c r="BU15" i="16" s="1"/>
  <c r="DH15" i="16"/>
  <c r="ED15" i="16"/>
  <c r="BF16" i="16"/>
  <c r="BJ16" i="16"/>
  <c r="DE16" i="16"/>
  <c r="DI16" i="16"/>
  <c r="EE16" i="16"/>
  <c r="BC17" i="16"/>
  <c r="BQ17" i="16" s="1"/>
  <c r="BG17" i="16"/>
  <c r="BK17" i="16"/>
  <c r="DF17" i="16"/>
  <c r="EB17" i="16"/>
  <c r="EF17" i="16"/>
  <c r="BF11" i="16"/>
  <c r="BJ11" i="16"/>
  <c r="DE11" i="16"/>
  <c r="DI11" i="16"/>
  <c r="BC12" i="16"/>
  <c r="BQ12" i="16" s="1"/>
  <c r="BG12" i="16"/>
  <c r="BK12" i="16"/>
  <c r="DF12" i="16"/>
  <c r="EB12" i="16"/>
  <c r="N13" i="16"/>
  <c r="DK13" i="16" s="1"/>
  <c r="AS13" i="16"/>
  <c r="BH13" i="16"/>
  <c r="BL13" i="16"/>
  <c r="BT13" i="16" s="1"/>
  <c r="DG13" i="16"/>
  <c r="EC13" i="16"/>
  <c r="BF15" i="16"/>
  <c r="BJ15" i="16"/>
  <c r="DE15" i="16"/>
  <c r="DI15" i="16"/>
  <c r="BC16" i="16"/>
  <c r="BQ16" i="16" s="1"/>
  <c r="BG16" i="16"/>
  <c r="BK16" i="16"/>
  <c r="DF16" i="16"/>
  <c r="EB16" i="16"/>
  <c r="N17" i="16"/>
  <c r="DK17" i="16" s="1"/>
  <c r="AS17" i="16"/>
  <c r="BH17" i="16"/>
  <c r="BL17" i="16"/>
  <c r="BT17" i="16" s="1"/>
  <c r="DG17" i="16"/>
  <c r="EC17" i="16"/>
  <c r="AQ55" i="14"/>
  <c r="AP55" i="14"/>
  <c r="AN55" i="14"/>
  <c r="AM55" i="14"/>
  <c r="AK55" i="14"/>
  <c r="AJ55" i="14"/>
  <c r="AH55" i="14"/>
  <c r="AG55" i="14"/>
  <c r="AE55" i="14"/>
  <c r="AD55" i="14"/>
  <c r="AB55" i="14"/>
  <c r="Y55" i="14"/>
  <c r="X55" i="14"/>
  <c r="V55" i="14"/>
  <c r="U55" i="14"/>
  <c r="S55" i="14"/>
  <c r="R55" i="14"/>
  <c r="P55" i="14"/>
  <c r="O55" i="14"/>
  <c r="M55" i="14"/>
  <c r="L55" i="14"/>
  <c r="J55" i="14"/>
  <c r="I55" i="14"/>
  <c r="AT52" i="14"/>
  <c r="AT49" i="14"/>
  <c r="AT46" i="14"/>
  <c r="AT43" i="14"/>
  <c r="G37" i="14"/>
  <c r="G36" i="14"/>
  <c r="G34" i="14"/>
  <c r="G33" i="14"/>
  <c r="G32" i="14"/>
  <c r="G30" i="14"/>
  <c r="G29" i="14"/>
  <c r="G28" i="14"/>
  <c r="G26" i="14"/>
  <c r="G25" i="14"/>
  <c r="G18" i="14"/>
  <c r="G17" i="14"/>
  <c r="G15" i="14"/>
  <c r="G14" i="14"/>
  <c r="G13" i="14"/>
  <c r="G11" i="14"/>
  <c r="G10" i="14"/>
  <c r="G9" i="14"/>
  <c r="G7" i="14"/>
  <c r="G6" i="14"/>
  <c r="H6" i="14"/>
  <c r="H37" i="14"/>
  <c r="H36" i="14"/>
  <c r="H34" i="14"/>
  <c r="H33" i="14"/>
  <c r="H32" i="14"/>
  <c r="H30" i="14"/>
  <c r="H29" i="14"/>
  <c r="H28" i="14"/>
  <c r="H26" i="14"/>
  <c r="H25" i="14"/>
  <c r="H18" i="14"/>
  <c r="H17" i="14"/>
  <c r="H15" i="14"/>
  <c r="H14" i="14"/>
  <c r="H13" i="14"/>
  <c r="H11" i="14"/>
  <c r="H10" i="14"/>
  <c r="H9" i="14"/>
  <c r="H7" i="14"/>
  <c r="AP8" i="16" l="1"/>
  <c r="AJ9" i="16"/>
  <c r="CZ11" i="16"/>
  <c r="CV11" i="16"/>
  <c r="BZ11" i="16" s="1"/>
  <c r="CR11" i="16"/>
  <c r="CY11" i="16"/>
  <c r="CU11" i="16"/>
  <c r="BY11" i="16" s="1"/>
  <c r="CQ11" i="16"/>
  <c r="DB11" i="16"/>
  <c r="CX11" i="16"/>
  <c r="DD11" i="16" s="1"/>
  <c r="CT11" i="16"/>
  <c r="BX11" i="16" s="1"/>
  <c r="CP11" i="16"/>
  <c r="DA11" i="16"/>
  <c r="CW11" i="16"/>
  <c r="DC11" i="16" s="1"/>
  <c r="CS11" i="16"/>
  <c r="CO15" i="16"/>
  <c r="CO14" i="16"/>
  <c r="CO10" i="16"/>
  <c r="DB17" i="16"/>
  <c r="CX17" i="16"/>
  <c r="DD17" i="16" s="1"/>
  <c r="CT17" i="16"/>
  <c r="BX17" i="16" s="1"/>
  <c r="CP17" i="16"/>
  <c r="DA17" i="16"/>
  <c r="CW17" i="16"/>
  <c r="DC17" i="16" s="1"/>
  <c r="CS17" i="16"/>
  <c r="CZ17" i="16"/>
  <c r="CV17" i="16"/>
  <c r="BZ17" i="16" s="1"/>
  <c r="CR17" i="16"/>
  <c r="CY17" i="16"/>
  <c r="CU17" i="16"/>
  <c r="BY17" i="16" s="1"/>
  <c r="CQ17" i="16"/>
  <c r="DB13" i="16"/>
  <c r="CX13" i="16"/>
  <c r="DD13" i="16" s="1"/>
  <c r="CT13" i="16"/>
  <c r="BX13" i="16" s="1"/>
  <c r="CP13" i="16"/>
  <c r="DA13" i="16"/>
  <c r="CW13" i="16"/>
  <c r="DC13" i="16" s="1"/>
  <c r="CS13" i="16"/>
  <c r="CZ13" i="16"/>
  <c r="CV13" i="16"/>
  <c r="BZ13" i="16" s="1"/>
  <c r="CR13" i="16"/>
  <c r="CY13" i="16"/>
  <c r="CU13" i="16"/>
  <c r="BY13" i="16" s="1"/>
  <c r="CQ13" i="16"/>
  <c r="DB9" i="16"/>
  <c r="CX9" i="16"/>
  <c r="DD9" i="16" s="1"/>
  <c r="CP9" i="16"/>
  <c r="DA9" i="16"/>
  <c r="CW9" i="16"/>
  <c r="DC9" i="16" s="1"/>
  <c r="CS9" i="16"/>
  <c r="CZ9" i="16"/>
  <c r="CV9" i="16"/>
  <c r="BZ9" i="16" s="1"/>
  <c r="CR9" i="16"/>
  <c r="CY9" i="16"/>
  <c r="CU9" i="16"/>
  <c r="BY9" i="16" s="1"/>
  <c r="CQ9" i="16"/>
  <c r="CY16" i="16"/>
  <c r="CU16" i="16"/>
  <c r="BY16" i="16" s="1"/>
  <c r="CQ16" i="16"/>
  <c r="DB16" i="16"/>
  <c r="CX16" i="16"/>
  <c r="DD16" i="16" s="1"/>
  <c r="CT16" i="16"/>
  <c r="BX16" i="16" s="1"/>
  <c r="CP16" i="16"/>
  <c r="DA16" i="16"/>
  <c r="CW16" i="16"/>
  <c r="DC16" i="16" s="1"/>
  <c r="CS16" i="16"/>
  <c r="CZ16" i="16"/>
  <c r="CV16" i="16"/>
  <c r="BZ16" i="16" s="1"/>
  <c r="CR16" i="16"/>
  <c r="CO12" i="16"/>
  <c r="CO8" i="16"/>
  <c r="AC16" i="16"/>
  <c r="AF16" i="16" s="1"/>
  <c r="AC8" i="16"/>
  <c r="AF8" i="16" s="1"/>
  <c r="AC14" i="16"/>
  <c r="AF14" i="16" s="1"/>
  <c r="AC12" i="16"/>
  <c r="AF12" i="16" s="1"/>
  <c r="AC10" i="16"/>
  <c r="AF10" i="16" s="1"/>
  <c r="AG10" i="16"/>
  <c r="BA10" i="16"/>
  <c r="BA13" i="16"/>
  <c r="BA12" i="16"/>
  <c r="BA11" i="16"/>
  <c r="BA8" i="16"/>
  <c r="BA9" i="16"/>
  <c r="BA17" i="16"/>
  <c r="BA14" i="16"/>
  <c r="BA16" i="16"/>
  <c r="BA15" i="16"/>
  <c r="AW8" i="16"/>
  <c r="AW11" i="16"/>
  <c r="AW17" i="16"/>
  <c r="AW14" i="16"/>
  <c r="AW13" i="16"/>
  <c r="AW12" i="16"/>
  <c r="AW15" i="16"/>
  <c r="AW10" i="16"/>
  <c r="AW9" i="16"/>
  <c r="AW16" i="16"/>
  <c r="AE13" i="16"/>
  <c r="AK13" i="16" s="1"/>
  <c r="AE10" i="16"/>
  <c r="AK10" i="16" s="1"/>
  <c r="AE17" i="16"/>
  <c r="AK17" i="16" s="1"/>
  <c r="AM15" i="16"/>
  <c r="AE14" i="16"/>
  <c r="AH14" i="16" s="1"/>
  <c r="AN14" i="16" s="1"/>
  <c r="AM10" i="16"/>
  <c r="AG15" i="16"/>
  <c r="AJ13" i="16"/>
  <c r="AE15" i="16"/>
  <c r="AH15" i="16" s="1"/>
  <c r="AN15" i="16" s="1"/>
  <c r="AL11" i="16"/>
  <c r="AI11" i="16"/>
  <c r="AI14" i="16"/>
  <c r="AL14" i="16"/>
  <c r="AD14" i="16"/>
  <c r="AJ14" i="16"/>
  <c r="AG13" i="16"/>
  <c r="AM13" i="16"/>
  <c r="AJ11" i="16"/>
  <c r="AD11" i="16"/>
  <c r="AD12" i="16"/>
  <c r="AJ12" i="16"/>
  <c r="AJ8" i="16"/>
  <c r="AD8" i="16"/>
  <c r="AL8" i="16"/>
  <c r="AI8" i="16"/>
  <c r="AL17" i="16"/>
  <c r="AI17" i="16"/>
  <c r="AE12" i="16"/>
  <c r="AH12" i="16" s="1"/>
  <c r="AN12" i="16" s="1"/>
  <c r="AL15" i="16"/>
  <c r="AI15" i="16"/>
  <c r="AH9" i="16"/>
  <c r="AN9" i="16" s="1"/>
  <c r="AM17" i="16"/>
  <c r="AG17" i="16"/>
  <c r="AJ15" i="16"/>
  <c r="AD15" i="16"/>
  <c r="AM11" i="16"/>
  <c r="AL12" i="16"/>
  <c r="AI12" i="16"/>
  <c r="AE16" i="16"/>
  <c r="AH16" i="16" s="1"/>
  <c r="AN16" i="16" s="1"/>
  <c r="AG8" i="16"/>
  <c r="AM8" i="16"/>
  <c r="AG14" i="16"/>
  <c r="AM14" i="16"/>
  <c r="AG11" i="16"/>
  <c r="AI13" i="16"/>
  <c r="AL13" i="16"/>
  <c r="AE8" i="16"/>
  <c r="AK8" i="16" s="1"/>
  <c r="AM16" i="16"/>
  <c r="AG16" i="16"/>
  <c r="AI16" i="16"/>
  <c r="AL16" i="16"/>
  <c r="AE11" i="16"/>
  <c r="AK11" i="16" s="1"/>
  <c r="AL9" i="16"/>
  <c r="AI9" i="16"/>
  <c r="AL10" i="16"/>
  <c r="AI10" i="16"/>
  <c r="AG12" i="16"/>
  <c r="AM12" i="16"/>
  <c r="AD10" i="16"/>
  <c r="AJ10" i="16"/>
  <c r="AG9" i="16"/>
  <c r="AM9" i="16"/>
  <c r="AD16" i="16"/>
  <c r="AJ16" i="16"/>
  <c r="AP17" i="16"/>
  <c r="AP15" i="16"/>
  <c r="AP11" i="16"/>
  <c r="AP9" i="16"/>
  <c r="AP14" i="16"/>
  <c r="AP16" i="16"/>
  <c r="AP12" i="16"/>
  <c r="AP13" i="16"/>
  <c r="AP10" i="16"/>
  <c r="AG48" i="14"/>
  <c r="U48" i="14"/>
  <c r="AQ45" i="14"/>
  <c r="AQ54" i="14"/>
  <c r="AT55" i="14"/>
  <c r="U47" i="14"/>
  <c r="O48" i="14"/>
  <c r="AG47" i="14"/>
  <c r="AI47" i="14" s="1"/>
  <c r="AM45" i="14"/>
  <c r="AQ51" i="14"/>
  <c r="AM53" i="14"/>
  <c r="I47" i="14"/>
  <c r="AM47" i="14"/>
  <c r="AQ48" i="14"/>
  <c r="O47" i="14"/>
  <c r="I48" i="14"/>
  <c r="AM48" i="14"/>
  <c r="U44" i="14"/>
  <c r="AM44" i="14"/>
  <c r="U45" i="14"/>
  <c r="AG45" i="14"/>
  <c r="I50" i="14"/>
  <c r="I51" i="14"/>
  <c r="AM51" i="14"/>
  <c r="AO51" i="14" s="1"/>
  <c r="O53" i="14"/>
  <c r="AG53" i="14"/>
  <c r="O54" i="14"/>
  <c r="U54" i="14"/>
  <c r="AG54" i="14"/>
  <c r="AM54" i="14"/>
  <c r="J44" i="14"/>
  <c r="P44" i="14"/>
  <c r="V44" i="14"/>
  <c r="AB44" i="14"/>
  <c r="AH44" i="14"/>
  <c r="AN44" i="14"/>
  <c r="J45" i="14"/>
  <c r="P45" i="14"/>
  <c r="V45" i="14"/>
  <c r="AB45" i="14"/>
  <c r="AH45" i="14"/>
  <c r="AN45" i="14"/>
  <c r="J47" i="14"/>
  <c r="P47" i="14"/>
  <c r="V47" i="14"/>
  <c r="AB47" i="14"/>
  <c r="AH47" i="14"/>
  <c r="AN47" i="14"/>
  <c r="J48" i="14"/>
  <c r="P48" i="14"/>
  <c r="V48" i="14"/>
  <c r="AB48" i="14"/>
  <c r="AH48" i="14"/>
  <c r="AN48" i="14"/>
  <c r="J50" i="14"/>
  <c r="P50" i="14"/>
  <c r="V50" i="14"/>
  <c r="AB50" i="14"/>
  <c r="AH50" i="14"/>
  <c r="AN50" i="14"/>
  <c r="J51" i="14"/>
  <c r="P51" i="14"/>
  <c r="V51" i="14"/>
  <c r="AB51" i="14"/>
  <c r="AH51" i="14"/>
  <c r="AN51" i="14"/>
  <c r="J53" i="14"/>
  <c r="P53" i="14"/>
  <c r="V53" i="14"/>
  <c r="AB53" i="14"/>
  <c r="AH53" i="14"/>
  <c r="AN53" i="14"/>
  <c r="J54" i="14"/>
  <c r="P54" i="14"/>
  <c r="V54" i="14"/>
  <c r="AB54" i="14"/>
  <c r="AH54" i="14"/>
  <c r="AN54" i="14"/>
  <c r="I44" i="14"/>
  <c r="K44" i="14" s="1"/>
  <c r="I45" i="14"/>
  <c r="U50" i="14"/>
  <c r="W50" i="14" s="1"/>
  <c r="AM50" i="14"/>
  <c r="U51" i="14"/>
  <c r="W51" i="14" s="1"/>
  <c r="AG51" i="14"/>
  <c r="AI51" i="14" s="1"/>
  <c r="I54" i="14"/>
  <c r="K54" i="14" s="1"/>
  <c r="L44" i="14"/>
  <c r="R44" i="14"/>
  <c r="X44" i="14"/>
  <c r="AD44" i="14"/>
  <c r="AJ44" i="14"/>
  <c r="AP44" i="14"/>
  <c r="L45" i="14"/>
  <c r="R45" i="14"/>
  <c r="X45" i="14"/>
  <c r="AD45" i="14"/>
  <c r="AJ45" i="14"/>
  <c r="AP45" i="14"/>
  <c r="AR45" i="14" s="1"/>
  <c r="L47" i="14"/>
  <c r="R47" i="14"/>
  <c r="X47" i="14"/>
  <c r="AD47" i="14"/>
  <c r="AJ47" i="14"/>
  <c r="AP47" i="14"/>
  <c r="L48" i="14"/>
  <c r="R48" i="14"/>
  <c r="X48" i="14"/>
  <c r="AD48" i="14"/>
  <c r="AJ48" i="14"/>
  <c r="AL48" i="14" s="1"/>
  <c r="AP48" i="14"/>
  <c r="AR48" i="14" s="1"/>
  <c r="L50" i="14"/>
  <c r="R50" i="14"/>
  <c r="X50" i="14"/>
  <c r="AD50" i="14"/>
  <c r="AJ50" i="14"/>
  <c r="AP50" i="14"/>
  <c r="L51" i="14"/>
  <c r="R51" i="14"/>
  <c r="X51" i="14"/>
  <c r="AD51" i="14"/>
  <c r="AJ51" i="14"/>
  <c r="AL51" i="14" s="1"/>
  <c r="AP51" i="14"/>
  <c r="AR51" i="14" s="1"/>
  <c r="L53" i="14"/>
  <c r="R53" i="14"/>
  <c r="X53" i="14"/>
  <c r="AD53" i="14"/>
  <c r="AJ53" i="14"/>
  <c r="AP53" i="14"/>
  <c r="L54" i="14"/>
  <c r="R54" i="14"/>
  <c r="X54" i="14"/>
  <c r="AD54" i="14"/>
  <c r="AJ54" i="14"/>
  <c r="AL54" i="14" s="1"/>
  <c r="AP54" i="14"/>
  <c r="O44" i="14"/>
  <c r="AG44" i="14"/>
  <c r="AI44" i="14" s="1"/>
  <c r="O45" i="14"/>
  <c r="Q45" i="14" s="1"/>
  <c r="O50" i="14"/>
  <c r="AG50" i="14"/>
  <c r="AI50" i="14" s="1"/>
  <c r="O51" i="14"/>
  <c r="Q51" i="14" s="1"/>
  <c r="I53" i="14"/>
  <c r="U53" i="14"/>
  <c r="W53" i="14" s="1"/>
  <c r="M44" i="14"/>
  <c r="S44" i="14"/>
  <c r="Y44" i="14"/>
  <c r="AE44" i="14"/>
  <c r="AK44" i="14"/>
  <c r="AQ44" i="14"/>
  <c r="M45" i="14"/>
  <c r="S45" i="14"/>
  <c r="Y45" i="14"/>
  <c r="AE45" i="14"/>
  <c r="AK45" i="14"/>
  <c r="M47" i="14"/>
  <c r="S47" i="14"/>
  <c r="Y47" i="14"/>
  <c r="AE47" i="14"/>
  <c r="AK47" i="14"/>
  <c r="AQ47" i="14"/>
  <c r="M48" i="14"/>
  <c r="S48" i="14"/>
  <c r="Y48" i="14"/>
  <c r="AE48" i="14"/>
  <c r="AK48" i="14"/>
  <c r="M50" i="14"/>
  <c r="S50" i="14"/>
  <c r="Y50" i="14"/>
  <c r="AE50" i="14"/>
  <c r="AK50" i="14"/>
  <c r="AQ50" i="14"/>
  <c r="M51" i="14"/>
  <c r="S51" i="14"/>
  <c r="Y51" i="14"/>
  <c r="AE51" i="14"/>
  <c r="AK51" i="14"/>
  <c r="M53" i="14"/>
  <c r="S53" i="14"/>
  <c r="Y53" i="14"/>
  <c r="AE53" i="14"/>
  <c r="AK53" i="14"/>
  <c r="AQ53" i="14"/>
  <c r="M54" i="14"/>
  <c r="S54" i="14"/>
  <c r="Y54" i="14"/>
  <c r="AE54" i="14"/>
  <c r="AK54" i="14"/>
  <c r="AS43" i="14"/>
  <c r="AQ38" i="14"/>
  <c r="AP38" i="14"/>
  <c r="AN38" i="14"/>
  <c r="AM38" i="14"/>
  <c r="AK38" i="14"/>
  <c r="AJ38" i="14"/>
  <c r="AH38" i="14"/>
  <c r="AG38" i="14"/>
  <c r="AE38" i="14"/>
  <c r="AD38" i="14"/>
  <c r="AB38" i="14"/>
  <c r="Y38" i="14"/>
  <c r="X38" i="14"/>
  <c r="V38" i="14"/>
  <c r="U38" i="14"/>
  <c r="S38" i="14"/>
  <c r="R38" i="14"/>
  <c r="P38" i="14"/>
  <c r="O38" i="14"/>
  <c r="M38" i="14"/>
  <c r="L38" i="14"/>
  <c r="J38" i="14"/>
  <c r="I38" i="14"/>
  <c r="AT37" i="14"/>
  <c r="AT36" i="14"/>
  <c r="AT35" i="14"/>
  <c r="AT34" i="14"/>
  <c r="AT33" i="14"/>
  <c r="AT32" i="14"/>
  <c r="AT31" i="14"/>
  <c r="AT30" i="14"/>
  <c r="AT29" i="14"/>
  <c r="AT28" i="14"/>
  <c r="AT27" i="14"/>
  <c r="AT26" i="14"/>
  <c r="AT25" i="14"/>
  <c r="AT24" i="14"/>
  <c r="CE10" i="16" l="1"/>
  <c r="BS10" i="16"/>
  <c r="CE14" i="16"/>
  <c r="BS14" i="16"/>
  <c r="CE17" i="16"/>
  <c r="BS17" i="16"/>
  <c r="CE9" i="16"/>
  <c r="BS9" i="16"/>
  <c r="CE11" i="16"/>
  <c r="BS11" i="16"/>
  <c r="CE15" i="16"/>
  <c r="BS15" i="16"/>
  <c r="CE8" i="16"/>
  <c r="CE12" i="16"/>
  <c r="BS12" i="16"/>
  <c r="BS16" i="16"/>
  <c r="CE13" i="16"/>
  <c r="BS13" i="16"/>
  <c r="BE11" i="16"/>
  <c r="DA10" i="16"/>
  <c r="CW10" i="16"/>
  <c r="DC10" i="16" s="1"/>
  <c r="CS10" i="16"/>
  <c r="CZ10" i="16"/>
  <c r="CV10" i="16"/>
  <c r="BZ10" i="16" s="1"/>
  <c r="CR10" i="16"/>
  <c r="CY10" i="16"/>
  <c r="CU10" i="16"/>
  <c r="BY10" i="16" s="1"/>
  <c r="CQ10" i="16"/>
  <c r="DB10" i="16"/>
  <c r="CX10" i="16"/>
  <c r="DD10" i="16" s="1"/>
  <c r="CT10" i="16"/>
  <c r="BX10" i="16" s="1"/>
  <c r="CP10" i="16"/>
  <c r="BE9" i="16"/>
  <c r="BE13" i="16"/>
  <c r="DA14" i="16"/>
  <c r="CW14" i="16"/>
  <c r="DC14" i="16" s="1"/>
  <c r="CS14" i="16"/>
  <c r="CZ14" i="16"/>
  <c r="CV14" i="16"/>
  <c r="BZ14" i="16" s="1"/>
  <c r="CR14" i="16"/>
  <c r="CY14" i="16"/>
  <c r="CU14" i="16"/>
  <c r="BY14" i="16" s="1"/>
  <c r="CQ14" i="16"/>
  <c r="DB14" i="16"/>
  <c r="CX14" i="16"/>
  <c r="DD14" i="16" s="1"/>
  <c r="CT14" i="16"/>
  <c r="BX14" i="16" s="1"/>
  <c r="CP14" i="16"/>
  <c r="CY8" i="16"/>
  <c r="CU8" i="16"/>
  <c r="BY8" i="16" s="1"/>
  <c r="CQ8" i="16"/>
  <c r="DB8" i="16"/>
  <c r="CX8" i="16"/>
  <c r="DD8" i="16" s="1"/>
  <c r="CT8" i="16"/>
  <c r="BX8" i="16" s="1"/>
  <c r="CP8" i="16"/>
  <c r="DA8" i="16"/>
  <c r="CW8" i="16"/>
  <c r="DC8" i="16" s="1"/>
  <c r="CS8" i="16"/>
  <c r="CZ8" i="16"/>
  <c r="CV8" i="16"/>
  <c r="BZ8" i="16" s="1"/>
  <c r="CR8" i="16"/>
  <c r="CZ15" i="16"/>
  <c r="CV15" i="16"/>
  <c r="BZ15" i="16" s="1"/>
  <c r="CR15" i="16"/>
  <c r="CY15" i="16"/>
  <c r="CU15" i="16"/>
  <c r="BY15" i="16" s="1"/>
  <c r="CQ15" i="16"/>
  <c r="DB15" i="16"/>
  <c r="CX15" i="16"/>
  <c r="DD15" i="16" s="1"/>
  <c r="CT15" i="16"/>
  <c r="BX15" i="16" s="1"/>
  <c r="CP15" i="16"/>
  <c r="DA15" i="16"/>
  <c r="CW15" i="16"/>
  <c r="DC15" i="16" s="1"/>
  <c r="CS15" i="16"/>
  <c r="CY12" i="16"/>
  <c r="CU12" i="16"/>
  <c r="BY12" i="16" s="1"/>
  <c r="CQ12" i="16"/>
  <c r="DB12" i="16"/>
  <c r="CX12" i="16"/>
  <c r="DD12" i="16" s="1"/>
  <c r="CT12" i="16"/>
  <c r="BX12" i="16" s="1"/>
  <c r="CP12" i="16"/>
  <c r="DA12" i="16"/>
  <c r="CW12" i="16"/>
  <c r="DC12" i="16" s="1"/>
  <c r="CS12" i="16"/>
  <c r="CZ12" i="16"/>
  <c r="CV12" i="16"/>
  <c r="BZ12" i="16" s="1"/>
  <c r="CR12" i="16"/>
  <c r="BE8" i="16"/>
  <c r="BE10" i="16"/>
  <c r="AH13" i="16"/>
  <c r="AN13" i="16" s="1"/>
  <c r="BE16" i="16"/>
  <c r="AH17" i="16"/>
  <c r="AN17" i="16" s="1"/>
  <c r="BE14" i="16"/>
  <c r="BE15" i="16"/>
  <c r="BE17" i="16"/>
  <c r="BE12" i="16"/>
  <c r="AH10" i="16"/>
  <c r="AN10" i="16" s="1"/>
  <c r="AK16" i="16"/>
  <c r="AO16" i="16" s="1"/>
  <c r="AK14" i="16"/>
  <c r="AO14" i="16" s="1"/>
  <c r="AO9" i="16"/>
  <c r="AH11" i="16"/>
  <c r="AN11" i="16" s="1"/>
  <c r="AO11" i="16" s="1"/>
  <c r="AK12" i="16"/>
  <c r="AO12" i="16" s="1"/>
  <c r="AH8" i="16"/>
  <c r="AN8" i="16" s="1"/>
  <c r="AK15" i="16"/>
  <c r="AO15" i="16" s="1"/>
  <c r="AR53" i="14"/>
  <c r="AR50" i="14"/>
  <c r="AR47" i="14"/>
  <c r="AR44" i="14"/>
  <c r="AR54" i="14"/>
  <c r="AO44" i="14"/>
  <c r="AO53" i="14"/>
  <c r="AO50" i="14"/>
  <c r="AO54" i="14"/>
  <c r="AO48" i="14"/>
  <c r="AO47" i="14"/>
  <c r="AO45" i="14"/>
  <c r="AL45" i="14"/>
  <c r="AL53" i="14"/>
  <c r="AL50" i="14"/>
  <c r="AL47" i="14"/>
  <c r="AL44" i="14"/>
  <c r="AI53" i="14"/>
  <c r="AI54" i="14"/>
  <c r="AI45" i="14"/>
  <c r="AI48" i="14"/>
  <c r="AF54" i="14"/>
  <c r="AF51" i="14"/>
  <c r="AF48" i="14"/>
  <c r="AF45" i="14"/>
  <c r="AF53" i="14"/>
  <c r="AF50" i="14"/>
  <c r="AF47" i="14"/>
  <c r="AF44" i="14"/>
  <c r="Q50" i="14"/>
  <c r="Z53" i="14"/>
  <c r="Z50" i="14"/>
  <c r="Z47" i="14"/>
  <c r="Z44" i="14"/>
  <c r="Z54" i="14"/>
  <c r="Z51" i="14"/>
  <c r="Z48" i="14"/>
  <c r="Z45" i="14"/>
  <c r="T54" i="14"/>
  <c r="T51" i="14"/>
  <c r="T48" i="14"/>
  <c r="Q53" i="14"/>
  <c r="W54" i="14"/>
  <c r="W45" i="14"/>
  <c r="W44" i="14"/>
  <c r="W47" i="14"/>
  <c r="W48" i="14"/>
  <c r="T53" i="14"/>
  <c r="T50" i="14"/>
  <c r="T47" i="14"/>
  <c r="T44" i="14"/>
  <c r="T45" i="14"/>
  <c r="Q44" i="14"/>
  <c r="Q54" i="14"/>
  <c r="Q47" i="14"/>
  <c r="Q48" i="14"/>
  <c r="N54" i="14"/>
  <c r="N51" i="14"/>
  <c r="N48" i="14"/>
  <c r="N45" i="14"/>
  <c r="N53" i="14"/>
  <c r="N50" i="14"/>
  <c r="N47" i="14"/>
  <c r="N44" i="14"/>
  <c r="K53" i="14"/>
  <c r="K45" i="14"/>
  <c r="K48" i="14"/>
  <c r="K47" i="14"/>
  <c r="K51" i="14"/>
  <c r="K50" i="14"/>
  <c r="AT51" i="14"/>
  <c r="AT48" i="14"/>
  <c r="AT53" i="14"/>
  <c r="AT50" i="14"/>
  <c r="AT47" i="14"/>
  <c r="AT44" i="14"/>
  <c r="AT54" i="14"/>
  <c r="AT45" i="14"/>
  <c r="AT38" i="14"/>
  <c r="AQ19" i="14"/>
  <c r="AP19" i="14"/>
  <c r="AN19" i="14"/>
  <c r="AM19" i="14"/>
  <c r="AK19" i="14"/>
  <c r="AJ19" i="14"/>
  <c r="AH19" i="14"/>
  <c r="AG19" i="14"/>
  <c r="AE19" i="14"/>
  <c r="AD19" i="14"/>
  <c r="AB19" i="14"/>
  <c r="Y19" i="14"/>
  <c r="X19" i="14"/>
  <c r="V19" i="14"/>
  <c r="U19" i="14"/>
  <c r="S19" i="14"/>
  <c r="R19" i="14"/>
  <c r="P19" i="14"/>
  <c r="O19" i="14"/>
  <c r="M19" i="14"/>
  <c r="L19" i="14"/>
  <c r="J19" i="14"/>
  <c r="I19" i="14"/>
  <c r="AT6" i="14"/>
  <c r="AT7" i="14"/>
  <c r="AT8" i="14"/>
  <c r="AT9" i="14"/>
  <c r="AT10" i="14"/>
  <c r="AT11" i="14"/>
  <c r="AT12" i="14"/>
  <c r="AT13" i="14"/>
  <c r="AT14" i="14"/>
  <c r="AT15" i="14"/>
  <c r="AT16" i="14"/>
  <c r="AT17" i="14"/>
  <c r="AT18" i="14"/>
  <c r="AT5" i="14"/>
  <c r="H8" i="6"/>
  <c r="A3" i="6"/>
  <c r="B8" i="5"/>
  <c r="R7" i="9"/>
  <c r="R8" i="9"/>
  <c r="R9" i="9"/>
  <c r="R10" i="9"/>
  <c r="R11" i="9"/>
  <c r="R12" i="9"/>
  <c r="R13" i="9"/>
  <c r="R14" i="9"/>
  <c r="R15" i="9"/>
  <c r="R6" i="9"/>
  <c r="M16" i="2"/>
  <c r="L16" i="2"/>
  <c r="K16" i="2"/>
  <c r="J16" i="2"/>
  <c r="I16" i="2"/>
  <c r="H16" i="2"/>
  <c r="G16" i="2"/>
  <c r="F16" i="2"/>
  <c r="E16" i="2"/>
  <c r="D16" i="2"/>
  <c r="N16" i="2" s="1"/>
  <c r="AR16" i="2" s="1"/>
  <c r="M15" i="2"/>
  <c r="L15" i="2"/>
  <c r="K15" i="2"/>
  <c r="J15" i="2"/>
  <c r="I15" i="2"/>
  <c r="H15" i="2"/>
  <c r="G15" i="2"/>
  <c r="F15" i="2"/>
  <c r="E15" i="2"/>
  <c r="D15" i="2"/>
  <c r="N15" i="2" s="1"/>
  <c r="AR15" i="2" s="1"/>
  <c r="M14" i="2"/>
  <c r="L14" i="2"/>
  <c r="K14" i="2"/>
  <c r="J14" i="2"/>
  <c r="I14" i="2"/>
  <c r="H14" i="2"/>
  <c r="G14" i="2"/>
  <c r="F14" i="2"/>
  <c r="E14" i="2"/>
  <c r="D14" i="2"/>
  <c r="N14" i="2" s="1"/>
  <c r="AR14" i="2" s="1"/>
  <c r="M13" i="2"/>
  <c r="L13" i="2"/>
  <c r="K13" i="2"/>
  <c r="J13" i="2"/>
  <c r="I13" i="2"/>
  <c r="H13" i="2"/>
  <c r="G13" i="2"/>
  <c r="F13" i="2"/>
  <c r="E13" i="2"/>
  <c r="D13" i="2"/>
  <c r="N13" i="2" s="1"/>
  <c r="AR13" i="2" s="1"/>
  <c r="M12" i="2"/>
  <c r="L12" i="2"/>
  <c r="K12" i="2"/>
  <c r="J12" i="2"/>
  <c r="I12" i="2"/>
  <c r="H12" i="2"/>
  <c r="G12" i="2"/>
  <c r="F12" i="2"/>
  <c r="E12" i="2"/>
  <c r="D12" i="2"/>
  <c r="N12" i="2" s="1"/>
  <c r="AR12" i="2" s="1"/>
  <c r="M11" i="2"/>
  <c r="L11" i="2"/>
  <c r="K11" i="2"/>
  <c r="J11" i="2"/>
  <c r="I11" i="2"/>
  <c r="H11" i="2"/>
  <c r="G11" i="2"/>
  <c r="F11" i="2"/>
  <c r="E11" i="2"/>
  <c r="D11" i="2"/>
  <c r="N11" i="2" s="1"/>
  <c r="AR11" i="2" s="1"/>
  <c r="M10" i="2"/>
  <c r="L10" i="2"/>
  <c r="K10" i="2"/>
  <c r="J10" i="2"/>
  <c r="I10" i="2"/>
  <c r="H10" i="2"/>
  <c r="G10" i="2"/>
  <c r="F10" i="2"/>
  <c r="E10" i="2"/>
  <c r="D10" i="2"/>
  <c r="N10" i="2" s="1"/>
  <c r="AR10" i="2" s="1"/>
  <c r="M9" i="2"/>
  <c r="L9" i="2"/>
  <c r="K9" i="2"/>
  <c r="J9" i="2"/>
  <c r="I9" i="2"/>
  <c r="H9" i="2"/>
  <c r="G9" i="2"/>
  <c r="F9" i="2"/>
  <c r="E9" i="2"/>
  <c r="D9" i="2"/>
  <c r="N9" i="2" s="1"/>
  <c r="M8" i="2"/>
  <c r="L8" i="2"/>
  <c r="K8" i="2"/>
  <c r="J8" i="2"/>
  <c r="I8" i="2"/>
  <c r="H8" i="2"/>
  <c r="G8" i="2"/>
  <c r="F8" i="2"/>
  <c r="E8" i="2"/>
  <c r="D8" i="2"/>
  <c r="N8" i="2" s="1"/>
  <c r="AR8" i="2" s="1"/>
  <c r="M7" i="2"/>
  <c r="L7" i="2"/>
  <c r="K7" i="2"/>
  <c r="J7" i="2"/>
  <c r="I7" i="2"/>
  <c r="H7" i="2"/>
  <c r="G7" i="2"/>
  <c r="F7" i="2"/>
  <c r="E7" i="2"/>
  <c r="D7" i="2"/>
  <c r="D17" i="13"/>
  <c r="D14" i="13"/>
  <c r="D15" i="13"/>
  <c r="D16" i="13"/>
  <c r="D11" i="13"/>
  <c r="C11" i="13"/>
  <c r="C12" i="13" s="1"/>
  <c r="X5" i="10"/>
  <c r="V5" i="10"/>
  <c r="U5" i="10"/>
  <c r="T5" i="10"/>
  <c r="S5" i="10"/>
  <c r="R5" i="10"/>
  <c r="Q5" i="10"/>
  <c r="P5" i="10"/>
  <c r="D4" i="13"/>
  <c r="D5" i="13"/>
  <c r="D6" i="13"/>
  <c r="D3" i="13"/>
  <c r="C7" i="13"/>
  <c r="B7" i="13"/>
  <c r="AR15" i="4"/>
  <c r="AQ15" i="4"/>
  <c r="AP15" i="4"/>
  <c r="AO15" i="4"/>
  <c r="AR14" i="4"/>
  <c r="AQ14" i="4"/>
  <c r="AP14" i="4"/>
  <c r="AO14" i="4"/>
  <c r="AR13" i="4"/>
  <c r="AQ13" i="4"/>
  <c r="AP13" i="4"/>
  <c r="AO13" i="4"/>
  <c r="AR12" i="4"/>
  <c r="AQ12" i="4"/>
  <c r="AP12" i="4"/>
  <c r="AO12" i="4"/>
  <c r="AR11" i="4"/>
  <c r="AQ11" i="4"/>
  <c r="AP11" i="4"/>
  <c r="AO11" i="4"/>
  <c r="AR10" i="4"/>
  <c r="AQ10" i="4"/>
  <c r="AP10" i="4"/>
  <c r="AO10" i="4"/>
  <c r="AR9" i="4"/>
  <c r="AQ9" i="4"/>
  <c r="AP9" i="4"/>
  <c r="AO9" i="4"/>
  <c r="AR8" i="4"/>
  <c r="AQ8" i="4"/>
  <c r="AP8" i="4"/>
  <c r="AO8" i="4"/>
  <c r="AR7" i="4"/>
  <c r="AQ7" i="4"/>
  <c r="AP7" i="4"/>
  <c r="AO7" i="4"/>
  <c r="AR6" i="4"/>
  <c r="AQ6" i="4"/>
  <c r="AP6" i="4"/>
  <c r="AO6" i="4"/>
  <c r="D7" i="13" l="1"/>
  <c r="B45" i="5"/>
  <c r="C32" i="5"/>
  <c r="C28" i="5"/>
  <c r="B24" i="5"/>
  <c r="B20" i="5"/>
  <c r="B16" i="5"/>
  <c r="B12" i="5"/>
  <c r="C44" i="5"/>
  <c r="C39" i="5"/>
  <c r="B36" i="5"/>
  <c r="B17" i="5"/>
  <c r="C45" i="5"/>
  <c r="B44" i="5"/>
  <c r="B39" i="5"/>
  <c r="C31" i="5"/>
  <c r="C27" i="5"/>
  <c r="B23" i="5"/>
  <c r="B19" i="5"/>
  <c r="B15" i="5"/>
  <c r="C43" i="5"/>
  <c r="C38" i="5"/>
  <c r="C29" i="5"/>
  <c r="C36" i="5"/>
  <c r="B43" i="5"/>
  <c r="C30" i="5"/>
  <c r="C26" i="5"/>
  <c r="B22" i="5"/>
  <c r="B18" i="5"/>
  <c r="B9" i="5"/>
  <c r="C41" i="5"/>
  <c r="C37" i="5"/>
  <c r="B41" i="5"/>
  <c r="B21" i="5"/>
  <c r="C40" i="5"/>
  <c r="C13" i="13"/>
  <c r="E12" i="13"/>
  <c r="E11" i="13"/>
  <c r="AO17" i="16"/>
  <c r="AO13" i="16"/>
  <c r="AO10" i="16"/>
  <c r="AO8" i="16"/>
  <c r="N7" i="2"/>
  <c r="AR7" i="2" s="1"/>
  <c r="AT19" i="14"/>
  <c r="AL10" i="2"/>
  <c r="AM16" i="2"/>
  <c r="AL14" i="2"/>
  <c r="AM12" i="2"/>
  <c r="AM8" i="2"/>
  <c r="AN15" i="2"/>
  <c r="AN11" i="2"/>
  <c r="AL13" i="2"/>
  <c r="AL9" i="2"/>
  <c r="AM15" i="2"/>
  <c r="AM11" i="2"/>
  <c r="AM7" i="2"/>
  <c r="AN14" i="2"/>
  <c r="AN10" i="2"/>
  <c r="A1" i="5"/>
  <c r="AL16" i="2"/>
  <c r="AL12" i="2"/>
  <c r="AL8" i="2"/>
  <c r="AM14" i="2"/>
  <c r="AM10" i="2"/>
  <c r="AN7" i="2"/>
  <c r="AN13" i="2"/>
  <c r="AN9" i="2"/>
  <c r="B7" i="5"/>
  <c r="AL15" i="2"/>
  <c r="AL11" i="2"/>
  <c r="AL7" i="2"/>
  <c r="AM13" i="2"/>
  <c r="AM9" i="2"/>
  <c r="AN16" i="2"/>
  <c r="AN12" i="2"/>
  <c r="AN8" i="2"/>
  <c r="C14" i="13" l="1"/>
  <c r="Q7" i="12"/>
  <c r="C15" i="12"/>
  <c r="J15" i="12" s="1"/>
  <c r="C14" i="12"/>
  <c r="J14" i="12" s="1"/>
  <c r="C13" i="12"/>
  <c r="J13" i="12" s="1"/>
  <c r="C12" i="12"/>
  <c r="J12" i="12" s="1"/>
  <c r="C11" i="12"/>
  <c r="J11" i="12" s="1"/>
  <c r="C10" i="12"/>
  <c r="J10" i="12" s="1"/>
  <c r="C9" i="12"/>
  <c r="J9" i="12" s="1"/>
  <c r="C8" i="12"/>
  <c r="J8" i="12" s="1"/>
  <c r="C7" i="12"/>
  <c r="J7" i="12" s="1"/>
  <c r="C6" i="12"/>
  <c r="J6" i="12" s="1"/>
  <c r="C16" i="11"/>
  <c r="C15" i="11"/>
  <c r="C14" i="11"/>
  <c r="C13" i="11"/>
  <c r="C12" i="11"/>
  <c r="C11" i="11"/>
  <c r="M11" i="11" s="1"/>
  <c r="C10" i="11"/>
  <c r="M10" i="11" s="1"/>
  <c r="C9" i="11"/>
  <c r="M9" i="11" s="1"/>
  <c r="C8" i="11"/>
  <c r="M8" i="11" s="1"/>
  <c r="C7" i="11"/>
  <c r="M7" i="11" s="1"/>
  <c r="W5" i="10"/>
  <c r="AB5" i="10"/>
  <c r="AA5" i="10"/>
  <c r="Z5" i="10"/>
  <c r="Y5" i="10"/>
  <c r="C15" i="13" l="1"/>
  <c r="E14" i="13"/>
  <c r="D7" i="11"/>
  <c r="E15" i="11"/>
  <c r="AD15" i="11"/>
  <c r="AE15" i="11"/>
  <c r="D16" i="11"/>
  <c r="AE16" i="11"/>
  <c r="AD16" i="11"/>
  <c r="AD9" i="11"/>
  <c r="AE9" i="11"/>
  <c r="AD13" i="11"/>
  <c r="AE13" i="11"/>
  <c r="I11" i="11"/>
  <c r="AD11" i="11"/>
  <c r="AE11" i="11"/>
  <c r="H8" i="11"/>
  <c r="AE8" i="11"/>
  <c r="AD8" i="11"/>
  <c r="H12" i="11"/>
  <c r="AE12" i="11"/>
  <c r="AD12" i="11"/>
  <c r="F10" i="11"/>
  <c r="AD10" i="11"/>
  <c r="AE10" i="11"/>
  <c r="J14" i="11"/>
  <c r="AD14" i="11"/>
  <c r="AE14" i="11"/>
  <c r="AF14" i="11" s="1"/>
  <c r="Z7" i="11"/>
  <c r="Y9" i="11"/>
  <c r="Z9" i="11" s="1"/>
  <c r="S7" i="11"/>
  <c r="Y16" i="11"/>
  <c r="Z16" i="11" s="1"/>
  <c r="Y12" i="11"/>
  <c r="Z12" i="11" s="1"/>
  <c r="Y8" i="11"/>
  <c r="Z8" i="11" s="1"/>
  <c r="Y13" i="11"/>
  <c r="Z13" i="11" s="1"/>
  <c r="H7" i="11"/>
  <c r="Y15" i="11"/>
  <c r="Z15" i="11" s="1"/>
  <c r="Y11" i="11"/>
  <c r="Z11" i="11" s="1"/>
  <c r="Y14" i="11"/>
  <c r="Z14" i="11" s="1"/>
  <c r="Y10" i="11"/>
  <c r="Z10" i="11" s="1"/>
  <c r="S13" i="11"/>
  <c r="S9" i="11"/>
  <c r="S16" i="11"/>
  <c r="S12" i="11"/>
  <c r="S8" i="11"/>
  <c r="S15" i="11"/>
  <c r="S11" i="11"/>
  <c r="S14" i="11"/>
  <c r="S10" i="11"/>
  <c r="G9" i="12"/>
  <c r="G12" i="12"/>
  <c r="G15" i="12"/>
  <c r="D6" i="12"/>
  <c r="H6" i="12"/>
  <c r="D7" i="12"/>
  <c r="H7" i="12"/>
  <c r="D8" i="12"/>
  <c r="H8" i="12"/>
  <c r="D9" i="12"/>
  <c r="H9" i="12"/>
  <c r="D10" i="12"/>
  <c r="H10" i="12"/>
  <c r="D11" i="12"/>
  <c r="H11" i="12"/>
  <c r="D12" i="12"/>
  <c r="H12" i="12"/>
  <c r="D13" i="12"/>
  <c r="H13" i="12"/>
  <c r="D14" i="12"/>
  <c r="H14" i="12"/>
  <c r="D15" i="12"/>
  <c r="H15" i="12"/>
  <c r="G6" i="12"/>
  <c r="E6" i="12"/>
  <c r="I6" i="12"/>
  <c r="E7" i="12"/>
  <c r="I7" i="12"/>
  <c r="E8" i="12"/>
  <c r="I8" i="12"/>
  <c r="E9" i="12"/>
  <c r="I9" i="12"/>
  <c r="E10" i="12"/>
  <c r="I10" i="12"/>
  <c r="E11" i="12"/>
  <c r="I11" i="12"/>
  <c r="E12" i="12"/>
  <c r="I12" i="12"/>
  <c r="E13" i="12"/>
  <c r="I13" i="12"/>
  <c r="E14" i="12"/>
  <c r="I14" i="12"/>
  <c r="E15" i="12"/>
  <c r="I15" i="12"/>
  <c r="G7" i="12"/>
  <c r="G8" i="12"/>
  <c r="G10" i="12"/>
  <c r="G11" i="12"/>
  <c r="G13" i="12"/>
  <c r="G14" i="12"/>
  <c r="F6" i="12"/>
  <c r="F7" i="12"/>
  <c r="F8" i="12"/>
  <c r="F9" i="12"/>
  <c r="F10" i="12"/>
  <c r="F11" i="12"/>
  <c r="F12" i="12"/>
  <c r="F13" i="12"/>
  <c r="F14" i="12"/>
  <c r="F15" i="12"/>
  <c r="D11" i="11"/>
  <c r="H15" i="11"/>
  <c r="E11" i="11"/>
  <c r="E7" i="11"/>
  <c r="H11" i="11"/>
  <c r="F14" i="11"/>
  <c r="H16" i="11"/>
  <c r="D12" i="11"/>
  <c r="D14" i="11"/>
  <c r="I14" i="11"/>
  <c r="D15" i="11"/>
  <c r="H10" i="11"/>
  <c r="D8" i="11"/>
  <c r="D10" i="11"/>
  <c r="I10" i="11"/>
  <c r="H14" i="11"/>
  <c r="I15" i="11"/>
  <c r="I7" i="11"/>
  <c r="E10" i="11"/>
  <c r="J10" i="11"/>
  <c r="E14" i="11"/>
  <c r="F7" i="11"/>
  <c r="J7" i="11"/>
  <c r="E8" i="11"/>
  <c r="I8" i="11"/>
  <c r="D9" i="11"/>
  <c r="H9" i="11"/>
  <c r="G10" i="11"/>
  <c r="F11" i="11"/>
  <c r="J11" i="11"/>
  <c r="E12" i="11"/>
  <c r="I12" i="11"/>
  <c r="D13" i="11"/>
  <c r="H13" i="11"/>
  <c r="G14" i="11"/>
  <c r="F15" i="11"/>
  <c r="J15" i="11"/>
  <c r="E16" i="11"/>
  <c r="I16" i="11"/>
  <c r="G9" i="11"/>
  <c r="G13" i="11"/>
  <c r="G7" i="11"/>
  <c r="F8" i="11"/>
  <c r="J8" i="11"/>
  <c r="E9" i="11"/>
  <c r="I9" i="11"/>
  <c r="G11" i="11"/>
  <c r="F12" i="11"/>
  <c r="J12" i="11"/>
  <c r="E13" i="11"/>
  <c r="I13" i="11"/>
  <c r="G15" i="11"/>
  <c r="F16" i="11"/>
  <c r="J16" i="11"/>
  <c r="G8" i="11"/>
  <c r="F9" i="11"/>
  <c r="J9" i="11"/>
  <c r="G12" i="11"/>
  <c r="F13" i="11"/>
  <c r="J13" i="11"/>
  <c r="G16" i="11"/>
  <c r="C16" i="13" l="1"/>
  <c r="E15" i="13"/>
  <c r="O11" i="11"/>
  <c r="X11" i="11"/>
  <c r="AA11" i="11" s="1"/>
  <c r="O7" i="11"/>
  <c r="X7" i="11"/>
  <c r="AA7" i="11" s="1"/>
  <c r="O10" i="11"/>
  <c r="X10" i="11"/>
  <c r="AA10" i="11" s="1"/>
  <c r="O8" i="11"/>
  <c r="X8" i="11"/>
  <c r="AA8" i="11" s="1"/>
  <c r="O9" i="11"/>
  <c r="X9" i="11"/>
  <c r="AA9" i="11" s="1"/>
  <c r="C17" i="13" l="1"/>
  <c r="E17" i="13" s="1"/>
  <c r="E16" i="13"/>
  <c r="C16" i="10"/>
  <c r="C15" i="10"/>
  <c r="C14" i="10"/>
  <c r="C13" i="10"/>
  <c r="C12" i="10"/>
  <c r="C11" i="10"/>
  <c r="C10" i="10"/>
  <c r="C9" i="10"/>
  <c r="C8" i="10"/>
  <c r="C7" i="10"/>
  <c r="J7" i="10" l="1"/>
  <c r="N7" i="10"/>
  <c r="K7" i="10"/>
  <c r="M7" i="10"/>
  <c r="L7" i="10"/>
  <c r="J11" i="10"/>
  <c r="N11" i="10"/>
  <c r="M11" i="10"/>
  <c r="L11" i="10"/>
  <c r="K11" i="10"/>
  <c r="J15" i="10"/>
  <c r="N15" i="10"/>
  <c r="M15" i="10"/>
  <c r="L15" i="10"/>
  <c r="K15" i="10"/>
  <c r="J8" i="10"/>
  <c r="N8" i="10"/>
  <c r="M8" i="10"/>
  <c r="K8" i="10"/>
  <c r="L8" i="10"/>
  <c r="J12" i="10"/>
  <c r="N12" i="10"/>
  <c r="M12" i="10"/>
  <c r="L12" i="10"/>
  <c r="K12" i="10"/>
  <c r="J16" i="10"/>
  <c r="N16" i="10"/>
  <c r="L16" i="10"/>
  <c r="M16" i="10"/>
  <c r="K16" i="10"/>
  <c r="J9" i="10"/>
  <c r="L9" i="10"/>
  <c r="K9" i="10"/>
  <c r="M9" i="10"/>
  <c r="N9" i="10"/>
  <c r="J13" i="10"/>
  <c r="L13" i="10"/>
  <c r="K13" i="10"/>
  <c r="N13" i="10"/>
  <c r="M13" i="10"/>
  <c r="J10" i="10"/>
  <c r="M10" i="10"/>
  <c r="L10" i="10"/>
  <c r="K10" i="10"/>
  <c r="N10" i="10"/>
  <c r="J14" i="10"/>
  <c r="M14" i="10"/>
  <c r="L14" i="10"/>
  <c r="K14" i="10"/>
  <c r="N14" i="10"/>
  <c r="G14" i="10"/>
  <c r="G15" i="10"/>
  <c r="D7" i="10"/>
  <c r="H7" i="10"/>
  <c r="D8" i="10"/>
  <c r="H8" i="10"/>
  <c r="D9" i="10"/>
  <c r="H9" i="10"/>
  <c r="D10" i="10"/>
  <c r="H10" i="10"/>
  <c r="D11" i="10"/>
  <c r="H11" i="10"/>
  <c r="D12" i="10"/>
  <c r="H12" i="10"/>
  <c r="D13" i="10"/>
  <c r="H13" i="10"/>
  <c r="D14" i="10"/>
  <c r="H14" i="10"/>
  <c r="D15" i="10"/>
  <c r="H15" i="10"/>
  <c r="D16" i="10"/>
  <c r="H16" i="10"/>
  <c r="G7" i="10"/>
  <c r="G9" i="10"/>
  <c r="G13" i="10"/>
  <c r="G16" i="10"/>
  <c r="E7" i="10"/>
  <c r="I7" i="10"/>
  <c r="E8" i="10"/>
  <c r="I8" i="10"/>
  <c r="E9" i="10"/>
  <c r="I9" i="10"/>
  <c r="E10" i="10"/>
  <c r="I10" i="10"/>
  <c r="E11" i="10"/>
  <c r="I11" i="10"/>
  <c r="E12" i="10"/>
  <c r="I12" i="10"/>
  <c r="E13" i="10"/>
  <c r="I13" i="10"/>
  <c r="E14" i="10"/>
  <c r="I14" i="10"/>
  <c r="E15" i="10"/>
  <c r="I15" i="10"/>
  <c r="E16" i="10"/>
  <c r="I16" i="10"/>
  <c r="G8" i="10"/>
  <c r="G10" i="10"/>
  <c r="G11" i="10"/>
  <c r="G12" i="10"/>
  <c r="F7" i="10"/>
  <c r="F8" i="10"/>
  <c r="F9" i="10"/>
  <c r="F10" i="10"/>
  <c r="F11" i="10"/>
  <c r="F12" i="10"/>
  <c r="F13" i="10"/>
  <c r="F14" i="10"/>
  <c r="F15" i="10"/>
  <c r="F16" i="10"/>
  <c r="C15" i="3"/>
  <c r="J15" i="3" s="1"/>
  <c r="C14" i="3"/>
  <c r="J14" i="3" s="1"/>
  <c r="C13" i="3"/>
  <c r="J13" i="3" s="1"/>
  <c r="C12" i="3"/>
  <c r="J12" i="3" s="1"/>
  <c r="C11" i="3"/>
  <c r="J11" i="3" s="1"/>
  <c r="C10" i="3"/>
  <c r="J10" i="3" s="1"/>
  <c r="C9" i="3"/>
  <c r="J9" i="3" s="1"/>
  <c r="C8" i="3"/>
  <c r="J8" i="3" s="1"/>
  <c r="C7" i="3"/>
  <c r="J7" i="3" s="1"/>
  <c r="C6" i="3"/>
  <c r="C15" i="9"/>
  <c r="C14" i="9"/>
  <c r="C13" i="9"/>
  <c r="C12" i="9"/>
  <c r="C11" i="9"/>
  <c r="C10" i="9"/>
  <c r="C9" i="9"/>
  <c r="C8" i="9"/>
  <c r="C7" i="9"/>
  <c r="C6" i="9"/>
  <c r="Q10" i="9" l="1"/>
  <c r="P10" i="9"/>
  <c r="Q14" i="9"/>
  <c r="P14" i="9"/>
  <c r="P7" i="9"/>
  <c r="Q7" i="9"/>
  <c r="Q11" i="9"/>
  <c r="P11" i="9"/>
  <c r="Q8" i="9"/>
  <c r="P8" i="9"/>
  <c r="Q12" i="9"/>
  <c r="P12" i="9"/>
  <c r="Q9" i="9"/>
  <c r="P9" i="9"/>
  <c r="P13" i="9"/>
  <c r="Q13" i="9"/>
  <c r="Q15" i="9"/>
  <c r="P15" i="9"/>
  <c r="O13" i="10"/>
  <c r="W13" i="10" s="1"/>
  <c r="O7" i="10"/>
  <c r="W7" i="10" s="1"/>
  <c r="O9" i="10"/>
  <c r="W9" i="10" s="1"/>
  <c r="O11" i="10"/>
  <c r="W11" i="10" s="1"/>
  <c r="F12" i="9"/>
  <c r="L12" i="9"/>
  <c r="K12" i="9"/>
  <c r="O12" i="10"/>
  <c r="W12" i="10" s="1"/>
  <c r="F8" i="9"/>
  <c r="L8" i="9"/>
  <c r="K8" i="9"/>
  <c r="N8" i="9"/>
  <c r="S8" i="9" s="1"/>
  <c r="J6" i="3"/>
  <c r="P11" i="11"/>
  <c r="Q14" i="11"/>
  <c r="P13" i="11"/>
  <c r="P14" i="11"/>
  <c r="Q15" i="11"/>
  <c r="Q16" i="11"/>
  <c r="Q12" i="11"/>
  <c r="P12" i="11"/>
  <c r="Q13" i="11"/>
  <c r="P16" i="11"/>
  <c r="Q9" i="11"/>
  <c r="Q7" i="11"/>
  <c r="Q10" i="11"/>
  <c r="P10" i="11"/>
  <c r="P9" i="11"/>
  <c r="Q11" i="11"/>
  <c r="P15" i="11"/>
  <c r="Q8" i="11"/>
  <c r="P8" i="11"/>
  <c r="P7" i="11"/>
  <c r="L13" i="9"/>
  <c r="K13" i="9"/>
  <c r="F10" i="9"/>
  <c r="N10" i="9"/>
  <c r="S10" i="9" s="1"/>
  <c r="L10" i="9"/>
  <c r="K10" i="9"/>
  <c r="K14" i="9"/>
  <c r="L14" i="9"/>
  <c r="G9" i="9"/>
  <c r="N9" i="9"/>
  <c r="S9" i="9" s="1"/>
  <c r="L9" i="9"/>
  <c r="K9" i="9"/>
  <c r="F6" i="9"/>
  <c r="S6" i="9"/>
  <c r="G7" i="9"/>
  <c r="L7" i="9"/>
  <c r="K7" i="9"/>
  <c r="N7" i="9"/>
  <c r="S7" i="9" s="1"/>
  <c r="G11" i="9"/>
  <c r="L11" i="9"/>
  <c r="K11" i="9"/>
  <c r="L15" i="9"/>
  <c r="K15" i="9"/>
  <c r="Z7" i="10"/>
  <c r="U7" i="10"/>
  <c r="U7" i="11" s="1"/>
  <c r="Q7" i="10"/>
  <c r="V7" i="10"/>
  <c r="V7" i="11" s="1"/>
  <c r="Y7" i="10"/>
  <c r="T7" i="10"/>
  <c r="T7" i="11" s="1"/>
  <c r="AB7" i="10"/>
  <c r="S7" i="10"/>
  <c r="AA7" i="10"/>
  <c r="Q9" i="10"/>
  <c r="Z13" i="10"/>
  <c r="U13" i="10"/>
  <c r="U13" i="11" s="1"/>
  <c r="Q13" i="10"/>
  <c r="AA13" i="10"/>
  <c r="R13" i="10"/>
  <c r="Y13" i="10"/>
  <c r="T13" i="10"/>
  <c r="T13" i="11" s="1"/>
  <c r="P13" i="10"/>
  <c r="AB13" i="10"/>
  <c r="X13" i="10"/>
  <c r="S13" i="10"/>
  <c r="V13" i="10"/>
  <c r="V13" i="11" s="1"/>
  <c r="O14" i="10"/>
  <c r="W14" i="10" s="1"/>
  <c r="O8" i="10"/>
  <c r="W8" i="10" s="1"/>
  <c r="O10" i="10"/>
  <c r="W10" i="10" s="1"/>
  <c r="O16" i="10"/>
  <c r="W16" i="10" s="1"/>
  <c r="O15" i="10"/>
  <c r="W15" i="10" s="1"/>
  <c r="G6" i="3"/>
  <c r="G9" i="3"/>
  <c r="G15" i="3"/>
  <c r="D6" i="3"/>
  <c r="H6" i="3"/>
  <c r="D7" i="3"/>
  <c r="H7" i="3"/>
  <c r="D8" i="3"/>
  <c r="H8" i="3"/>
  <c r="D9" i="3"/>
  <c r="H9" i="3"/>
  <c r="D10" i="3"/>
  <c r="H10" i="3"/>
  <c r="D11" i="3"/>
  <c r="H11" i="3"/>
  <c r="D12" i="3"/>
  <c r="H12" i="3"/>
  <c r="D13" i="3"/>
  <c r="H13" i="3"/>
  <c r="D14" i="3"/>
  <c r="H14" i="3"/>
  <c r="D15" i="3"/>
  <c r="H15" i="3"/>
  <c r="G11" i="3"/>
  <c r="G13" i="3"/>
  <c r="G14" i="3"/>
  <c r="E6" i="3"/>
  <c r="I6" i="3"/>
  <c r="E7" i="3"/>
  <c r="I7" i="3"/>
  <c r="E8" i="3"/>
  <c r="I8" i="3"/>
  <c r="E9" i="3"/>
  <c r="I9" i="3"/>
  <c r="E10" i="3"/>
  <c r="I10" i="3"/>
  <c r="E11" i="3"/>
  <c r="I11" i="3"/>
  <c r="E12" i="3"/>
  <c r="I12" i="3"/>
  <c r="E13" i="3"/>
  <c r="I13" i="3"/>
  <c r="E14" i="3"/>
  <c r="I14" i="3"/>
  <c r="E15" i="3"/>
  <c r="I15" i="3"/>
  <c r="G7" i="3"/>
  <c r="G8" i="3"/>
  <c r="G10" i="3"/>
  <c r="G12" i="3"/>
  <c r="F6" i="3"/>
  <c r="F7" i="3"/>
  <c r="F8" i="3"/>
  <c r="F9" i="3"/>
  <c r="F10" i="3"/>
  <c r="F11" i="3"/>
  <c r="F12" i="3"/>
  <c r="F13" i="3"/>
  <c r="F14" i="3"/>
  <c r="F15" i="3"/>
  <c r="J7" i="9"/>
  <c r="J9" i="9"/>
  <c r="J11" i="9"/>
  <c r="G6" i="9"/>
  <c r="G8" i="9"/>
  <c r="G10" i="9"/>
  <c r="G12" i="9"/>
  <c r="J6" i="9"/>
  <c r="F7" i="9"/>
  <c r="J8" i="9"/>
  <c r="F9" i="9"/>
  <c r="J10" i="9"/>
  <c r="F11" i="9"/>
  <c r="J12" i="9"/>
  <c r="J13" i="9"/>
  <c r="F13" i="9"/>
  <c r="I13" i="9"/>
  <c r="E13" i="9"/>
  <c r="H13" i="9"/>
  <c r="D13" i="9"/>
  <c r="J14" i="9"/>
  <c r="F14" i="9"/>
  <c r="I14" i="9"/>
  <c r="E14" i="9"/>
  <c r="H14" i="9"/>
  <c r="D14" i="9"/>
  <c r="I6" i="9"/>
  <c r="E6" i="9"/>
  <c r="H6" i="9"/>
  <c r="D6" i="9"/>
  <c r="I7" i="9"/>
  <c r="E7" i="9"/>
  <c r="H7" i="9"/>
  <c r="D7" i="9"/>
  <c r="I8" i="9"/>
  <c r="E8" i="9"/>
  <c r="H8" i="9"/>
  <c r="D8" i="9"/>
  <c r="I9" i="9"/>
  <c r="E9" i="9"/>
  <c r="H9" i="9"/>
  <c r="D9" i="9"/>
  <c r="I10" i="9"/>
  <c r="E10" i="9"/>
  <c r="H10" i="9"/>
  <c r="D10" i="9"/>
  <c r="I11" i="9"/>
  <c r="E11" i="9"/>
  <c r="H11" i="9"/>
  <c r="D11" i="9"/>
  <c r="I12" i="9"/>
  <c r="E12" i="9"/>
  <c r="H12" i="9"/>
  <c r="D12" i="9"/>
  <c r="G13" i="9"/>
  <c r="G14" i="9"/>
  <c r="G15" i="9"/>
  <c r="D15" i="9"/>
  <c r="H15" i="9"/>
  <c r="E15" i="9"/>
  <c r="I15" i="9"/>
  <c r="F15" i="9"/>
  <c r="J15" i="9"/>
  <c r="C15" i="8"/>
  <c r="C14" i="8"/>
  <c r="C13" i="8"/>
  <c r="C12" i="8"/>
  <c r="C11" i="8"/>
  <c r="C10" i="8"/>
  <c r="C9" i="8"/>
  <c r="C8" i="8"/>
  <c r="C7" i="8"/>
  <c r="C6" i="8"/>
  <c r="AC15" i="1"/>
  <c r="AC14" i="1"/>
  <c r="AC13" i="1"/>
  <c r="AC12" i="1"/>
  <c r="AC11" i="1"/>
  <c r="AC10" i="1"/>
  <c r="AC9" i="1"/>
  <c r="AC8" i="1"/>
  <c r="AC7" i="1"/>
  <c r="AC6" i="1"/>
  <c r="C15" i="7"/>
  <c r="C14" i="7"/>
  <c r="C13" i="7"/>
  <c r="C12" i="7"/>
  <c r="C11" i="7"/>
  <c r="C10" i="7"/>
  <c r="C9" i="7"/>
  <c r="C8" i="7"/>
  <c r="C7" i="7"/>
  <c r="C6" i="7"/>
  <c r="S9" i="10" l="1"/>
  <c r="Y9" i="10"/>
  <c r="X9" i="10"/>
  <c r="AK9" i="2" s="1"/>
  <c r="U9" i="10"/>
  <c r="U9" i="11" s="1"/>
  <c r="T9" i="10"/>
  <c r="T9" i="11" s="1"/>
  <c r="R7" i="10"/>
  <c r="P7" i="10"/>
  <c r="X7" i="10"/>
  <c r="AK7" i="2" s="1"/>
  <c r="AB9" i="10"/>
  <c r="R9" i="10"/>
  <c r="Z9" i="10"/>
  <c r="V9" i="10"/>
  <c r="V9" i="11" s="1"/>
  <c r="P9" i="10"/>
  <c r="AA9" i="10"/>
  <c r="AA12" i="10"/>
  <c r="S11" i="10"/>
  <c r="P12" i="10"/>
  <c r="T11" i="10"/>
  <c r="T11" i="11" s="1"/>
  <c r="Q12" i="10"/>
  <c r="Q11" i="10"/>
  <c r="X11" i="10"/>
  <c r="AK11" i="2" s="1"/>
  <c r="Y11" i="10"/>
  <c r="U11" i="10"/>
  <c r="U11" i="11" s="1"/>
  <c r="S12" i="10"/>
  <c r="T12" i="10"/>
  <c r="T12" i="11" s="1"/>
  <c r="U12" i="10"/>
  <c r="U12" i="11" s="1"/>
  <c r="AB11" i="10"/>
  <c r="R11" i="10"/>
  <c r="Z11" i="10"/>
  <c r="X12" i="10"/>
  <c r="AK12" i="2" s="1"/>
  <c r="Y12" i="10"/>
  <c r="Z12" i="10"/>
  <c r="O8" i="9"/>
  <c r="V11" i="10"/>
  <c r="V11" i="11" s="1"/>
  <c r="P11" i="10"/>
  <c r="AA11" i="10"/>
  <c r="R12" i="10"/>
  <c r="AB12" i="10"/>
  <c r="V12" i="10"/>
  <c r="V12" i="11" s="1"/>
  <c r="O10" i="9"/>
  <c r="S11" i="2" s="1"/>
  <c r="I8" i="7"/>
  <c r="L8" i="7"/>
  <c r="N8" i="7"/>
  <c r="K8" i="7"/>
  <c r="Q8" i="7"/>
  <c r="M8" i="7"/>
  <c r="P8" i="7"/>
  <c r="O8" i="7"/>
  <c r="I7" i="7"/>
  <c r="Q7" i="7"/>
  <c r="L7" i="7"/>
  <c r="P7" i="7"/>
  <c r="N7" i="7"/>
  <c r="O7" i="7"/>
  <c r="K7" i="7"/>
  <c r="M7" i="7"/>
  <c r="I11" i="7"/>
  <c r="L11" i="7"/>
  <c r="O11" i="7"/>
  <c r="N11" i="7"/>
  <c r="M11" i="7"/>
  <c r="P11" i="7"/>
  <c r="K11" i="7"/>
  <c r="I15" i="7"/>
  <c r="L15" i="7"/>
  <c r="N15" i="7"/>
  <c r="P15" i="7"/>
  <c r="K15" i="7"/>
  <c r="M15" i="7"/>
  <c r="O15" i="7"/>
  <c r="X7" i="8"/>
  <c r="S7" i="8"/>
  <c r="O7" i="8"/>
  <c r="N7" i="8"/>
  <c r="W7" i="8"/>
  <c r="R7" i="8"/>
  <c r="V7" i="8"/>
  <c r="M7" i="8"/>
  <c r="L7" i="8"/>
  <c r="U7" i="8"/>
  <c r="Q7" i="8"/>
  <c r="K7" i="8"/>
  <c r="Y7" i="8" s="1"/>
  <c r="T7" i="8"/>
  <c r="P7" i="8"/>
  <c r="X11" i="8"/>
  <c r="S11" i="8"/>
  <c r="O11" i="8"/>
  <c r="N11" i="8"/>
  <c r="R11" i="8"/>
  <c r="M11" i="8"/>
  <c r="W11" i="8"/>
  <c r="V11" i="8"/>
  <c r="L11" i="8"/>
  <c r="T11" i="8"/>
  <c r="P11" i="8"/>
  <c r="U11" i="8"/>
  <c r="K11" i="8"/>
  <c r="Y11" i="8" s="1"/>
  <c r="X15" i="8"/>
  <c r="S15" i="8"/>
  <c r="O15" i="8"/>
  <c r="N15" i="8"/>
  <c r="M15" i="8"/>
  <c r="W15" i="8"/>
  <c r="R15" i="8"/>
  <c r="V15" i="8"/>
  <c r="L15" i="8"/>
  <c r="P15" i="8"/>
  <c r="U15" i="8"/>
  <c r="K15" i="8"/>
  <c r="Y15" i="8" s="1"/>
  <c r="T15" i="8"/>
  <c r="T9" i="9"/>
  <c r="T10" i="2" s="1"/>
  <c r="T8" i="9"/>
  <c r="T9" i="2" s="1"/>
  <c r="I12" i="7"/>
  <c r="L12" i="7"/>
  <c r="M12" i="7"/>
  <c r="K12" i="7"/>
  <c r="P12" i="7"/>
  <c r="N12" i="7"/>
  <c r="O12" i="7"/>
  <c r="S8" i="8"/>
  <c r="P8" i="8"/>
  <c r="N8" i="8"/>
  <c r="O8" i="8"/>
  <c r="X8" i="8"/>
  <c r="R8" i="8"/>
  <c r="U8" i="8"/>
  <c r="T8" i="8"/>
  <c r="Q8" i="8"/>
  <c r="W8" i="8"/>
  <c r="L8" i="8"/>
  <c r="V8" i="8"/>
  <c r="M8" i="8"/>
  <c r="K8" i="8"/>
  <c r="Y8" i="8" s="1"/>
  <c r="S12" i="8"/>
  <c r="P12" i="8"/>
  <c r="N12" i="8"/>
  <c r="O12" i="8"/>
  <c r="X12" i="8"/>
  <c r="R12" i="8"/>
  <c r="M12" i="8"/>
  <c r="W12" i="8"/>
  <c r="U12" i="8"/>
  <c r="L12" i="8"/>
  <c r="V12" i="8"/>
  <c r="T12" i="8"/>
  <c r="K12" i="8"/>
  <c r="Y12" i="8" s="1"/>
  <c r="I9" i="7"/>
  <c r="O9" i="7"/>
  <c r="L9" i="7"/>
  <c r="P9" i="7"/>
  <c r="K9" i="7"/>
  <c r="N9" i="7"/>
  <c r="Q9" i="7"/>
  <c r="M9" i="7"/>
  <c r="I13" i="7"/>
  <c r="O13" i="7"/>
  <c r="L13" i="7"/>
  <c r="K13" i="7"/>
  <c r="N13" i="7"/>
  <c r="P13" i="7"/>
  <c r="M13" i="7"/>
  <c r="V9" i="8"/>
  <c r="S9" i="8"/>
  <c r="Q9" i="8"/>
  <c r="N9" i="8"/>
  <c r="R9" i="8"/>
  <c r="P9" i="8"/>
  <c r="X9" i="8"/>
  <c r="O9" i="8"/>
  <c r="K9" i="8"/>
  <c r="Y9" i="8" s="1"/>
  <c r="U9" i="8"/>
  <c r="L9" i="8"/>
  <c r="W9" i="8"/>
  <c r="M9" i="8"/>
  <c r="T9" i="8"/>
  <c r="V13" i="8"/>
  <c r="S13" i="8"/>
  <c r="N13" i="8"/>
  <c r="R13" i="8"/>
  <c r="M13" i="8"/>
  <c r="P13" i="8"/>
  <c r="U13" i="8"/>
  <c r="K13" i="8"/>
  <c r="Y13" i="8" s="1"/>
  <c r="X13" i="8"/>
  <c r="O13" i="8"/>
  <c r="L13" i="8"/>
  <c r="T13" i="8"/>
  <c r="W13" i="8"/>
  <c r="T6" i="9"/>
  <c r="T7" i="2" s="1"/>
  <c r="X7" i="2" s="1"/>
  <c r="I6" i="7"/>
  <c r="P6" i="7"/>
  <c r="L6" i="7"/>
  <c r="M6" i="7"/>
  <c r="K6" i="7"/>
  <c r="O6" i="7"/>
  <c r="Q6" i="7"/>
  <c r="N6" i="7"/>
  <c r="I10" i="7"/>
  <c r="P10" i="7"/>
  <c r="L10" i="7"/>
  <c r="M10" i="7"/>
  <c r="Q10" i="7"/>
  <c r="O10" i="7"/>
  <c r="K10" i="7"/>
  <c r="N10" i="7"/>
  <c r="I14" i="7"/>
  <c r="P14" i="7"/>
  <c r="L14" i="7"/>
  <c r="M14" i="7"/>
  <c r="O14" i="7"/>
  <c r="K14" i="7"/>
  <c r="N14" i="7"/>
  <c r="W6" i="8"/>
  <c r="S6" i="8"/>
  <c r="N6" i="8"/>
  <c r="V6" i="8"/>
  <c r="R6" i="8"/>
  <c r="Q6" i="8"/>
  <c r="U6" i="8"/>
  <c r="P6" i="8"/>
  <c r="L6" i="8"/>
  <c r="M6" i="8"/>
  <c r="X6" i="8"/>
  <c r="T6" i="8"/>
  <c r="O6" i="8"/>
  <c r="K6" i="8"/>
  <c r="Y6" i="8" s="1"/>
  <c r="W10" i="8"/>
  <c r="S10" i="8"/>
  <c r="N10" i="8"/>
  <c r="V10" i="8"/>
  <c r="Q10" i="8"/>
  <c r="R10" i="8"/>
  <c r="M10" i="8"/>
  <c r="U10" i="8"/>
  <c r="L10" i="8"/>
  <c r="K10" i="8"/>
  <c r="Y10" i="8" s="1"/>
  <c r="AB10" i="8" s="1"/>
  <c r="P10" i="8"/>
  <c r="T10" i="8"/>
  <c r="X10" i="8"/>
  <c r="O10" i="8"/>
  <c r="W14" i="8"/>
  <c r="S14" i="8"/>
  <c r="N14" i="8"/>
  <c r="R14" i="8"/>
  <c r="V14" i="8"/>
  <c r="M14" i="8"/>
  <c r="U14" i="8"/>
  <c r="P14" i="8"/>
  <c r="L14" i="8"/>
  <c r="T14" i="8"/>
  <c r="O14" i="8"/>
  <c r="K14" i="8"/>
  <c r="Y14" i="8" s="1"/>
  <c r="AB14" i="8" s="1"/>
  <c r="X14" i="8"/>
  <c r="T7" i="9"/>
  <c r="T8" i="2" s="1"/>
  <c r="T10" i="9"/>
  <c r="T11" i="2" s="1"/>
  <c r="BN7" i="2"/>
  <c r="BL7" i="2"/>
  <c r="BM7" i="2"/>
  <c r="BI7" i="2"/>
  <c r="BN13" i="2"/>
  <c r="BJ13" i="2"/>
  <c r="BK13" i="2"/>
  <c r="BM13" i="2"/>
  <c r="BL13" i="2"/>
  <c r="BI13" i="2"/>
  <c r="BN9" i="2"/>
  <c r="BJ9" i="2"/>
  <c r="BM9" i="2"/>
  <c r="BK9" i="2"/>
  <c r="BI9" i="2"/>
  <c r="BL9" i="2"/>
  <c r="BK16" i="2"/>
  <c r="BN16" i="2"/>
  <c r="BJ16" i="2"/>
  <c r="BL16" i="2"/>
  <c r="BI16" i="2"/>
  <c r="BM16" i="2"/>
  <c r="BK12" i="2"/>
  <c r="BJ12" i="2"/>
  <c r="BL12" i="2"/>
  <c r="BN12" i="2"/>
  <c r="BI12" i="2"/>
  <c r="BM12" i="2"/>
  <c r="BK8" i="2"/>
  <c r="BN8" i="2"/>
  <c r="BL8" i="2"/>
  <c r="BJ8" i="2"/>
  <c r="BI8" i="2"/>
  <c r="BM8" i="2"/>
  <c r="BL15" i="2"/>
  <c r="BI15" i="2"/>
  <c r="BM15" i="2"/>
  <c r="BK15" i="2"/>
  <c r="BN15" i="2"/>
  <c r="BJ15" i="2"/>
  <c r="BL11" i="2"/>
  <c r="BK11" i="2"/>
  <c r="BI11" i="2"/>
  <c r="BM11" i="2"/>
  <c r="BN11" i="2"/>
  <c r="BJ11" i="2"/>
  <c r="J18" i="6" s="1"/>
  <c r="BI14" i="2"/>
  <c r="BM14" i="2"/>
  <c r="BL14" i="2"/>
  <c r="BN14" i="2"/>
  <c r="BJ14" i="2"/>
  <c r="BK14" i="2"/>
  <c r="BI10" i="2"/>
  <c r="BM10" i="2"/>
  <c r="BN10" i="2"/>
  <c r="BJ10" i="2"/>
  <c r="BL10" i="2"/>
  <c r="BK10" i="2"/>
  <c r="BK7" i="2"/>
  <c r="BJ7" i="2"/>
  <c r="AO7" i="2"/>
  <c r="AP7" i="2"/>
  <c r="AO13" i="2"/>
  <c r="AP13" i="2"/>
  <c r="AP9" i="2"/>
  <c r="AO9" i="2"/>
  <c r="AO16" i="2"/>
  <c r="AP16" i="2"/>
  <c r="AO12" i="2"/>
  <c r="AP12" i="2"/>
  <c r="AP8" i="2"/>
  <c r="AO8" i="2"/>
  <c r="AO15" i="2"/>
  <c r="AP15" i="2"/>
  <c r="AO11" i="2"/>
  <c r="AP11" i="2"/>
  <c r="AI14" i="2"/>
  <c r="AO14" i="2"/>
  <c r="AP14" i="2"/>
  <c r="AO10" i="2"/>
  <c r="AP10" i="2"/>
  <c r="O9" i="9"/>
  <c r="S10" i="2" s="1"/>
  <c r="O7" i="9"/>
  <c r="S8" i="2" s="1"/>
  <c r="R7" i="2"/>
  <c r="AJ7" i="2"/>
  <c r="AE7" i="2"/>
  <c r="AA7" i="2"/>
  <c r="AD7" i="2"/>
  <c r="AC7" i="2"/>
  <c r="Z7" i="2"/>
  <c r="AF7" i="2"/>
  <c r="AB7" i="2"/>
  <c r="R12" i="2"/>
  <c r="AJ12" i="2"/>
  <c r="AC12" i="2"/>
  <c r="AF12" i="2"/>
  <c r="R12" i="11" s="1"/>
  <c r="AB12" i="2"/>
  <c r="Z12" i="2"/>
  <c r="AE12" i="2"/>
  <c r="AA12" i="2"/>
  <c r="AD12" i="2"/>
  <c r="Y12" i="2"/>
  <c r="R8" i="2"/>
  <c r="AJ8" i="2"/>
  <c r="AC8" i="2"/>
  <c r="AF8" i="2"/>
  <c r="R8" i="11" s="1"/>
  <c r="AB8" i="2"/>
  <c r="Z8" i="2"/>
  <c r="AE8" i="2"/>
  <c r="AA8" i="2"/>
  <c r="AD8" i="2"/>
  <c r="Y8" i="2"/>
  <c r="R13" i="2"/>
  <c r="AJ13" i="2"/>
  <c r="AK13" i="2"/>
  <c r="AE13" i="2"/>
  <c r="AA13" i="2"/>
  <c r="Z13" i="2"/>
  <c r="Y13" i="2"/>
  <c r="AD13" i="2"/>
  <c r="AC13" i="2"/>
  <c r="AF13" i="2"/>
  <c r="R13" i="11" s="1"/>
  <c r="AB13" i="2"/>
  <c r="R16" i="2"/>
  <c r="AJ16" i="2"/>
  <c r="AC16" i="2"/>
  <c r="AF16" i="2"/>
  <c r="R16" i="11" s="1"/>
  <c r="AB16" i="2"/>
  <c r="Z16" i="2"/>
  <c r="AE16" i="2"/>
  <c r="AA16" i="2"/>
  <c r="AD16" i="2"/>
  <c r="Y16" i="2"/>
  <c r="R15" i="2"/>
  <c r="AJ15" i="2"/>
  <c r="AE15" i="2"/>
  <c r="AA15" i="2"/>
  <c r="AD15" i="2"/>
  <c r="AC15" i="2"/>
  <c r="Z15" i="2"/>
  <c r="Y15" i="2"/>
  <c r="AF15" i="2"/>
  <c r="R15" i="11" s="1"/>
  <c r="AB15" i="2"/>
  <c r="R11" i="2"/>
  <c r="AJ11" i="2"/>
  <c r="AE11" i="2"/>
  <c r="AA11" i="2"/>
  <c r="AD11" i="2"/>
  <c r="AC11" i="2"/>
  <c r="Z11" i="2"/>
  <c r="Y11" i="2"/>
  <c r="AF11" i="2"/>
  <c r="R11" i="11" s="1"/>
  <c r="AB11" i="2"/>
  <c r="R9" i="2"/>
  <c r="AJ9" i="2"/>
  <c r="AE9" i="2"/>
  <c r="AA9" i="2"/>
  <c r="Z9" i="2"/>
  <c r="Y9" i="2"/>
  <c r="AD9" i="2"/>
  <c r="AC9" i="2"/>
  <c r="AF9" i="2"/>
  <c r="R9" i="11" s="1"/>
  <c r="AB9" i="2"/>
  <c r="R14" i="2"/>
  <c r="AJ14" i="2"/>
  <c r="AC14" i="2"/>
  <c r="AF14" i="2"/>
  <c r="R14" i="11" s="1"/>
  <c r="AB14" i="2"/>
  <c r="Y14" i="2"/>
  <c r="AE14" i="2"/>
  <c r="AA14" i="2"/>
  <c r="AD14" i="2"/>
  <c r="Z14" i="2"/>
  <c r="R10" i="2"/>
  <c r="AJ10" i="2"/>
  <c r="AC10" i="2"/>
  <c r="AF10" i="2"/>
  <c r="R10" i="11" s="1"/>
  <c r="AB10" i="2"/>
  <c r="Y10" i="2"/>
  <c r="AE10" i="2"/>
  <c r="AA10" i="2"/>
  <c r="AD10" i="2"/>
  <c r="Z10" i="2"/>
  <c r="Z10" i="10"/>
  <c r="U10" i="10"/>
  <c r="U10" i="11" s="1"/>
  <c r="Q10" i="10"/>
  <c r="V10" i="10"/>
  <c r="V10" i="11" s="1"/>
  <c r="Y10" i="10"/>
  <c r="T10" i="10"/>
  <c r="T10" i="11" s="1"/>
  <c r="P10" i="10"/>
  <c r="AB10" i="10"/>
  <c r="X10" i="10"/>
  <c r="AK10" i="2" s="1"/>
  <c r="S10" i="10"/>
  <c r="AA10" i="10"/>
  <c r="R10" i="10"/>
  <c r="Z8" i="10"/>
  <c r="U8" i="10"/>
  <c r="U8" i="11" s="1"/>
  <c r="Q8" i="10"/>
  <c r="V8" i="10"/>
  <c r="V8" i="11" s="1"/>
  <c r="R8" i="10"/>
  <c r="Y8" i="10"/>
  <c r="T8" i="10"/>
  <c r="T8" i="11" s="1"/>
  <c r="P8" i="10"/>
  <c r="AB8" i="10"/>
  <c r="X8" i="10"/>
  <c r="AK8" i="2" s="1"/>
  <c r="S8" i="10"/>
  <c r="AA8" i="10"/>
  <c r="Z16" i="10"/>
  <c r="U16" i="10"/>
  <c r="U16" i="11" s="1"/>
  <c r="Q16" i="10"/>
  <c r="AA16" i="10"/>
  <c r="V16" i="10"/>
  <c r="V16" i="11" s="1"/>
  <c r="Y16" i="10"/>
  <c r="T16" i="10"/>
  <c r="T16" i="11" s="1"/>
  <c r="P16" i="10"/>
  <c r="AB16" i="10"/>
  <c r="X16" i="10"/>
  <c r="AK16" i="2" s="1"/>
  <c r="S16" i="10"/>
  <c r="R16" i="10"/>
  <c r="Z15" i="10"/>
  <c r="U15" i="10"/>
  <c r="U15" i="11" s="1"/>
  <c r="Q15" i="10"/>
  <c r="AA15" i="10"/>
  <c r="R15" i="10"/>
  <c r="Y15" i="10"/>
  <c r="T15" i="10"/>
  <c r="T15" i="11" s="1"/>
  <c r="P15" i="10"/>
  <c r="AB15" i="10"/>
  <c r="X15" i="10"/>
  <c r="AK15" i="2" s="1"/>
  <c r="S15" i="10"/>
  <c r="V15" i="10"/>
  <c r="V15" i="11" s="1"/>
  <c r="Z14" i="10"/>
  <c r="U14" i="10"/>
  <c r="U14" i="11" s="1"/>
  <c r="Q14" i="10"/>
  <c r="V14" i="10"/>
  <c r="V14" i="11" s="1"/>
  <c r="Y14" i="10"/>
  <c r="T14" i="10"/>
  <c r="T14" i="11" s="1"/>
  <c r="P14" i="10"/>
  <c r="AB14" i="10"/>
  <c r="X14" i="10"/>
  <c r="AK14" i="2" s="1"/>
  <c r="S14" i="10"/>
  <c r="AA14" i="10"/>
  <c r="R14" i="10"/>
  <c r="V7" i="2"/>
  <c r="V9" i="2"/>
  <c r="S9" i="2"/>
  <c r="V8" i="2"/>
  <c r="V10" i="2"/>
  <c r="V11" i="2"/>
  <c r="G6" i="8"/>
  <c r="G9" i="8"/>
  <c r="D6" i="8"/>
  <c r="H6" i="8"/>
  <c r="D7" i="8"/>
  <c r="H7" i="8"/>
  <c r="D8" i="8"/>
  <c r="H8" i="8"/>
  <c r="D9" i="8"/>
  <c r="H9" i="8"/>
  <c r="D10" i="8"/>
  <c r="H10" i="8"/>
  <c r="D11" i="8"/>
  <c r="H11" i="8"/>
  <c r="D12" i="8"/>
  <c r="H12" i="8"/>
  <c r="D13" i="8"/>
  <c r="H13" i="8"/>
  <c r="D14" i="8"/>
  <c r="H14" i="8"/>
  <c r="D15" i="8"/>
  <c r="H15" i="8"/>
  <c r="G12" i="8"/>
  <c r="E6" i="8"/>
  <c r="I6" i="8"/>
  <c r="E7" i="8"/>
  <c r="I7" i="8"/>
  <c r="E8" i="8"/>
  <c r="I8" i="8"/>
  <c r="E9" i="8"/>
  <c r="I9" i="8"/>
  <c r="E10" i="8"/>
  <c r="I10" i="8"/>
  <c r="E11" i="8"/>
  <c r="I11" i="8"/>
  <c r="E12" i="8"/>
  <c r="I12" i="8"/>
  <c r="E13" i="8"/>
  <c r="I13" i="8"/>
  <c r="E14" i="8"/>
  <c r="I14" i="8"/>
  <c r="E15" i="8"/>
  <c r="I15" i="8"/>
  <c r="G7" i="8"/>
  <c r="G8" i="8"/>
  <c r="G10" i="8"/>
  <c r="G11" i="8"/>
  <c r="G13" i="8"/>
  <c r="G14" i="8"/>
  <c r="G15" i="8"/>
  <c r="F6" i="8"/>
  <c r="J6" i="8"/>
  <c r="F7" i="8"/>
  <c r="J7" i="8"/>
  <c r="F8" i="8"/>
  <c r="J8" i="8"/>
  <c r="F9" i="8"/>
  <c r="J9" i="8"/>
  <c r="F10" i="8"/>
  <c r="J10" i="8"/>
  <c r="F11" i="8"/>
  <c r="J11" i="8"/>
  <c r="F12" i="8"/>
  <c r="J12" i="8"/>
  <c r="F13" i="8"/>
  <c r="J13" i="8"/>
  <c r="F14" i="8"/>
  <c r="J14" i="8"/>
  <c r="F15" i="8"/>
  <c r="J15" i="8"/>
  <c r="J7" i="7"/>
  <c r="J15" i="7"/>
  <c r="J11" i="7"/>
  <c r="F8" i="7"/>
  <c r="J14" i="7"/>
  <c r="J10" i="7"/>
  <c r="J13" i="7"/>
  <c r="J9" i="7"/>
  <c r="J12" i="7"/>
  <c r="J8" i="7"/>
  <c r="F12" i="7"/>
  <c r="F11" i="7"/>
  <c r="F15" i="7"/>
  <c r="F10" i="7"/>
  <c r="F14" i="7"/>
  <c r="F7" i="7"/>
  <c r="F6" i="7"/>
  <c r="F9" i="7"/>
  <c r="F13" i="7"/>
  <c r="J6" i="7"/>
  <c r="G7" i="7"/>
  <c r="G8" i="7"/>
  <c r="G11" i="7"/>
  <c r="G12" i="7"/>
  <c r="G15" i="7"/>
  <c r="G6" i="7"/>
  <c r="G9" i="7"/>
  <c r="G10" i="7"/>
  <c r="G14" i="7"/>
  <c r="D6" i="7"/>
  <c r="H6" i="7"/>
  <c r="D7" i="7"/>
  <c r="H7" i="7"/>
  <c r="D8" i="7"/>
  <c r="H8" i="7"/>
  <c r="D9" i="7"/>
  <c r="H9" i="7"/>
  <c r="D10" i="7"/>
  <c r="H10" i="7"/>
  <c r="D11" i="7"/>
  <c r="H11" i="7"/>
  <c r="D12" i="7"/>
  <c r="H12" i="7"/>
  <c r="D13" i="7"/>
  <c r="H13" i="7"/>
  <c r="D14" i="7"/>
  <c r="H14" i="7"/>
  <c r="D15" i="7"/>
  <c r="H15" i="7"/>
  <c r="G13" i="7"/>
  <c r="E6" i="7"/>
  <c r="E7" i="7"/>
  <c r="E8" i="7"/>
  <c r="E9" i="7"/>
  <c r="E10" i="7"/>
  <c r="E11" i="7"/>
  <c r="E12" i="7"/>
  <c r="E13" i="7"/>
  <c r="E14" i="7"/>
  <c r="E15" i="7"/>
  <c r="AB6" i="8" l="1"/>
  <c r="R6" i="7"/>
  <c r="O7" i="2" s="1"/>
  <c r="J20" i="6"/>
  <c r="J19" i="6"/>
  <c r="J17" i="6"/>
  <c r="J15" i="6"/>
  <c r="J16" i="6"/>
  <c r="J14" i="6"/>
  <c r="X9" i="2"/>
  <c r="X8" i="2"/>
  <c r="R7" i="11"/>
  <c r="X10" i="2"/>
  <c r="X11" i="2"/>
  <c r="AA7" i="8"/>
  <c r="AD7" i="8" s="1"/>
  <c r="AA15" i="8"/>
  <c r="AA11" i="8"/>
  <c r="AD11" i="8" s="1"/>
  <c r="AJ11" i="8" s="1"/>
  <c r="AA6" i="8"/>
  <c r="AD6" i="8" s="1"/>
  <c r="AJ6" i="8" s="1"/>
  <c r="AA14" i="8"/>
  <c r="AA10" i="8"/>
  <c r="AA9" i="8"/>
  <c r="AG9" i="8" s="1"/>
  <c r="AA13" i="8"/>
  <c r="AD13" i="8" s="1"/>
  <c r="AJ13" i="8" s="1"/>
  <c r="AO13" i="8" s="1"/>
  <c r="AA8" i="8"/>
  <c r="AG8" i="8" s="1"/>
  <c r="AA12" i="8"/>
  <c r="AD12" i="8" s="1"/>
  <c r="AJ12" i="8" s="1"/>
  <c r="AB7" i="8"/>
  <c r="AB13" i="8"/>
  <c r="AB15" i="8"/>
  <c r="AB8" i="8"/>
  <c r="AB9" i="8"/>
  <c r="AB12" i="8"/>
  <c r="AB11" i="8"/>
  <c r="AH14" i="8"/>
  <c r="AE14" i="8"/>
  <c r="AH11" i="8"/>
  <c r="AE11" i="8"/>
  <c r="AH8" i="8"/>
  <c r="AE8" i="8"/>
  <c r="Z13" i="8"/>
  <c r="AF13" i="8"/>
  <c r="AC14" i="8"/>
  <c r="AI14" i="8"/>
  <c r="AC10" i="8"/>
  <c r="AI10" i="8"/>
  <c r="AI6" i="8"/>
  <c r="AC6" i="8"/>
  <c r="Z8" i="8"/>
  <c r="AF8" i="8"/>
  <c r="Z15" i="8"/>
  <c r="AF15" i="8"/>
  <c r="Z7" i="8"/>
  <c r="AF7" i="8"/>
  <c r="AH15" i="8"/>
  <c r="AE15" i="8"/>
  <c r="AH12" i="8"/>
  <c r="AE12" i="8"/>
  <c r="AH9" i="8"/>
  <c r="AE9" i="8"/>
  <c r="AH6" i="8"/>
  <c r="AE6" i="8"/>
  <c r="AI11" i="8"/>
  <c r="AC11" i="8"/>
  <c r="AC13" i="8"/>
  <c r="AI13" i="8"/>
  <c r="AC9" i="8"/>
  <c r="AI9" i="8"/>
  <c r="Z11" i="8"/>
  <c r="AF11" i="8"/>
  <c r="Z10" i="8"/>
  <c r="AF10" i="8"/>
  <c r="AH13" i="8"/>
  <c r="AE13" i="8"/>
  <c r="AH10" i="8"/>
  <c r="AE10" i="8"/>
  <c r="AH7" i="8"/>
  <c r="AE7" i="8"/>
  <c r="AI15" i="8"/>
  <c r="AC15" i="8"/>
  <c r="AI7" i="8"/>
  <c r="AC7" i="8"/>
  <c r="Z12" i="8"/>
  <c r="AF12" i="8"/>
  <c r="Z9" i="8"/>
  <c r="AF9" i="8"/>
  <c r="AC12" i="8"/>
  <c r="AI12" i="8"/>
  <c r="AC8" i="8"/>
  <c r="AI8" i="8"/>
  <c r="Z6" i="8"/>
  <c r="AF6" i="8"/>
  <c r="Z14" i="8"/>
  <c r="AF14" i="8"/>
  <c r="R7" i="7"/>
  <c r="O8" i="2" s="1"/>
  <c r="R8" i="7"/>
  <c r="O9" i="2" s="1"/>
  <c r="R9" i="7"/>
  <c r="O10" i="2" s="1"/>
  <c r="R10" i="7"/>
  <c r="O11" i="2" s="1"/>
  <c r="AG7" i="8" l="1"/>
  <c r="AG12" i="8"/>
  <c r="AM12" i="8" s="1"/>
  <c r="AG6" i="8"/>
  <c r="AM6" i="8" s="1"/>
  <c r="AD8" i="8"/>
  <c r="AJ8" i="8" s="1"/>
  <c r="AM8" i="8" s="1"/>
  <c r="AD9" i="8"/>
  <c r="AJ9" i="8" s="1"/>
  <c r="AO9" i="8" s="1"/>
  <c r="AG11" i="8"/>
  <c r="AK11" i="8" s="1"/>
  <c r="AJ7" i="8"/>
  <c r="AL12" i="8"/>
  <c r="AL13" i="8"/>
  <c r="AG15" i="8"/>
  <c r="AN15" i="8" s="1"/>
  <c r="AD10" i="8"/>
  <c r="AL10" i="8" s="1"/>
  <c r="AL6" i="8"/>
  <c r="AO11" i="8"/>
  <c r="AN7" i="8"/>
  <c r="AL7" i="8"/>
  <c r="AO12" i="8"/>
  <c r="AO6" i="8"/>
  <c r="AM11" i="8"/>
  <c r="AN8" i="8"/>
  <c r="AG14" i="8"/>
  <c r="AN14" i="8" s="1"/>
  <c r="AG13" i="8"/>
  <c r="AM13" i="8" s="1"/>
  <c r="AG10" i="8"/>
  <c r="AN10" i="8" s="1"/>
  <c r="AN9" i="8"/>
  <c r="AD14" i="8"/>
  <c r="AL11" i="8"/>
  <c r="AN11" i="8"/>
  <c r="AD15" i="8"/>
  <c r="P12" i="2" l="1"/>
  <c r="AQ13" i="16"/>
  <c r="AR13" i="16" s="1"/>
  <c r="BD13" i="16" s="1"/>
  <c r="BO13" i="16" s="1"/>
  <c r="CF13" i="16" s="1"/>
  <c r="CG13" i="16" s="1"/>
  <c r="CJ13" i="16" s="1"/>
  <c r="DJ13" i="16" s="1"/>
  <c r="AK6" i="8"/>
  <c r="AQ8" i="16" s="1"/>
  <c r="AR8" i="16" s="1"/>
  <c r="BD8" i="16" s="1"/>
  <c r="BO8" i="16" s="1"/>
  <c r="CF8" i="16" s="1"/>
  <c r="CG8" i="16" s="1"/>
  <c r="CJ8" i="16" s="1"/>
  <c r="DJ8" i="16" s="1"/>
  <c r="AK7" i="8"/>
  <c r="AK12" i="8"/>
  <c r="AM7" i="8"/>
  <c r="AK8" i="8"/>
  <c r="AN12" i="8"/>
  <c r="AN6" i="8"/>
  <c r="AL8" i="8"/>
  <c r="AO8" i="8"/>
  <c r="P7" i="2"/>
  <c r="Q7" i="2" s="1"/>
  <c r="W7" i="2" s="1"/>
  <c r="AH7" i="2" s="1"/>
  <c r="AL9" i="8"/>
  <c r="AO7" i="8"/>
  <c r="AK9" i="8"/>
  <c r="AM9" i="8"/>
  <c r="AJ14" i="8"/>
  <c r="AK13" i="8"/>
  <c r="AJ15" i="8"/>
  <c r="AO15" i="8" s="1"/>
  <c r="AJ10" i="8"/>
  <c r="AL15" i="8"/>
  <c r="AL14" i="8"/>
  <c r="AN13" i="8"/>
  <c r="P8" i="2" l="1"/>
  <c r="Q8" i="2" s="1"/>
  <c r="W8" i="2" s="1"/>
  <c r="AQ9" i="16"/>
  <c r="P10" i="2"/>
  <c r="Q10" i="2" s="1"/>
  <c r="W10" i="2" s="1"/>
  <c r="AQ11" i="16"/>
  <c r="AR11" i="16" s="1"/>
  <c r="BD11" i="16" s="1"/>
  <c r="BO11" i="16" s="1"/>
  <c r="CF11" i="16" s="1"/>
  <c r="CG11" i="16" s="1"/>
  <c r="CJ11" i="16" s="1"/>
  <c r="DJ11" i="16" s="1"/>
  <c r="P9" i="2"/>
  <c r="Q9" i="2" s="1"/>
  <c r="W9" i="2" s="1"/>
  <c r="AQ10" i="16"/>
  <c r="AR10" i="16" s="1"/>
  <c r="BD10" i="16" s="1"/>
  <c r="BO10" i="16" s="1"/>
  <c r="CF10" i="16" s="1"/>
  <c r="CG10" i="16" s="1"/>
  <c r="CJ10" i="16" s="1"/>
  <c r="DJ10" i="16" s="1"/>
  <c r="P14" i="2"/>
  <c r="AQ15" i="16"/>
  <c r="AR15" i="16" s="1"/>
  <c r="BD15" i="16" s="1"/>
  <c r="BO15" i="16" s="1"/>
  <c r="P13" i="2"/>
  <c r="AQ14" i="16"/>
  <c r="AR14" i="16" s="1"/>
  <c r="BD14" i="16" s="1"/>
  <c r="BO14" i="16" s="1"/>
  <c r="CF14" i="16" s="1"/>
  <c r="CG14" i="16" s="1"/>
  <c r="CJ14" i="16" s="1"/>
  <c r="DJ14" i="16" s="1"/>
  <c r="AH10" i="2"/>
  <c r="AA29" i="14"/>
  <c r="AH9" i="2"/>
  <c r="AA28" i="14"/>
  <c r="AH8" i="2"/>
  <c r="K8" i="11" s="1"/>
  <c r="AB8" i="11" s="1"/>
  <c r="AC8" i="11" s="1"/>
  <c r="AF8" i="11" s="1"/>
  <c r="AA26" i="14"/>
  <c r="AS9" i="2"/>
  <c r="AM10" i="8"/>
  <c r="AK10" i="8"/>
  <c r="AO10" i="8"/>
  <c r="AM14" i="8"/>
  <c r="AK14" i="8"/>
  <c r="AM15" i="8"/>
  <c r="AK15" i="8"/>
  <c r="AO14" i="8"/>
  <c r="P11" i="2" l="1"/>
  <c r="Q11" i="2" s="1"/>
  <c r="W11" i="2" s="1"/>
  <c r="AA46" i="14" s="1"/>
  <c r="AS46" i="14" s="1"/>
  <c r="AQ12" i="16"/>
  <c r="AR12" i="16" s="1"/>
  <c r="BD12" i="16" s="1"/>
  <c r="BO12" i="16" s="1"/>
  <c r="CF12" i="16" s="1"/>
  <c r="CG12" i="16" s="1"/>
  <c r="CJ12" i="16" s="1"/>
  <c r="DJ12" i="16" s="1"/>
  <c r="DJ15" i="16"/>
  <c r="DL15" i="16" s="1"/>
  <c r="DY15" i="16" s="1"/>
  <c r="CF15" i="16"/>
  <c r="CG15" i="16" s="1"/>
  <c r="P15" i="2"/>
  <c r="AQ16" i="16"/>
  <c r="AR16" i="16" s="1"/>
  <c r="BD16" i="16" s="1"/>
  <c r="BO16" i="16" s="1"/>
  <c r="CF16" i="16" s="1"/>
  <c r="CG16" i="16" s="1"/>
  <c r="CJ16" i="16" s="1"/>
  <c r="DJ16" i="16" s="1"/>
  <c r="AR9" i="16"/>
  <c r="BD9" i="16" s="1"/>
  <c r="B13" i="5"/>
  <c r="P16" i="2"/>
  <c r="AQ17" i="16"/>
  <c r="AR17" i="16" s="1"/>
  <c r="BD17" i="16" s="1"/>
  <c r="BO17" i="16" s="1"/>
  <c r="CF17" i="16" s="1"/>
  <c r="CG17" i="16" s="1"/>
  <c r="CJ17" i="16" s="1"/>
  <c r="DJ17" i="16" s="1"/>
  <c r="AA7" i="14"/>
  <c r="AS7" i="14" s="1"/>
  <c r="AA9" i="14"/>
  <c r="AS9" i="14" s="1"/>
  <c r="K9" i="11"/>
  <c r="AB9" i="11" s="1"/>
  <c r="AC9" i="11" s="1"/>
  <c r="AF9" i="11" s="1"/>
  <c r="AI9" i="2" s="1"/>
  <c r="AQ9" i="2" s="1"/>
  <c r="BE9" i="2" s="1"/>
  <c r="BF9" i="2" s="1"/>
  <c r="AA10" i="14"/>
  <c r="AS10" i="14" s="1"/>
  <c r="K10" i="11"/>
  <c r="AB10" i="11" s="1"/>
  <c r="AC10" i="11" s="1"/>
  <c r="AF10" i="11" s="1"/>
  <c r="AI8" i="2"/>
  <c r="AQ8" i="2" s="1"/>
  <c r="DX10" i="16"/>
  <c r="DY10" i="16" s="1"/>
  <c r="AS28" i="14"/>
  <c r="AA47" i="14"/>
  <c r="AS26" i="14"/>
  <c r="AA45" i="14"/>
  <c r="AS29" i="14"/>
  <c r="AH11" i="2"/>
  <c r="AA30" i="14"/>
  <c r="AS30" i="14" s="1"/>
  <c r="AA27" i="14"/>
  <c r="AS27" i="14" s="1"/>
  <c r="AS8" i="2"/>
  <c r="BC7" i="1"/>
  <c r="BD7" i="1"/>
  <c r="BC8" i="1"/>
  <c r="BD8" i="1"/>
  <c r="BC9" i="1"/>
  <c r="BD9" i="1"/>
  <c r="BC10" i="1"/>
  <c r="BD10" i="1"/>
  <c r="BC11" i="1"/>
  <c r="BD11" i="1"/>
  <c r="BC12" i="1"/>
  <c r="BD12" i="1"/>
  <c r="BC13" i="1"/>
  <c r="BD13" i="1"/>
  <c r="BC14" i="1"/>
  <c r="BD14" i="1"/>
  <c r="BC15" i="1"/>
  <c r="BD15" i="1"/>
  <c r="BD6" i="1"/>
  <c r="BC6" i="1"/>
  <c r="AP7" i="1"/>
  <c r="AP8" i="1"/>
  <c r="AP9" i="1"/>
  <c r="AP10" i="1"/>
  <c r="AP11" i="1"/>
  <c r="AP12" i="1"/>
  <c r="AP13" i="1"/>
  <c r="AP14" i="1"/>
  <c r="AP15" i="1"/>
  <c r="AP6" i="1"/>
  <c r="R11" i="1"/>
  <c r="R12" i="1"/>
  <c r="R13" i="1"/>
  <c r="R14" i="1"/>
  <c r="R15" i="1"/>
  <c r="BO9" i="16" l="1"/>
  <c r="B14" i="5"/>
  <c r="AA11" i="14"/>
  <c r="AS11" i="14" s="1"/>
  <c r="K11" i="11"/>
  <c r="AB11" i="11" s="1"/>
  <c r="AC11" i="11" s="1"/>
  <c r="AF11" i="11" s="1"/>
  <c r="AA8" i="14"/>
  <c r="AS8" i="14" s="1"/>
  <c r="AI10" i="2"/>
  <c r="AQ10" i="2" s="1"/>
  <c r="AS10" i="2" s="1"/>
  <c r="BF10" i="2" s="1"/>
  <c r="DL11" i="16"/>
  <c r="AV8" i="2"/>
  <c r="BF8" i="2" s="1"/>
  <c r="AS45" i="14"/>
  <c r="AU45" i="14" s="1"/>
  <c r="AC45" i="14"/>
  <c r="AS47" i="14"/>
  <c r="AU47" i="14" s="1"/>
  <c r="AC47" i="14"/>
  <c r="AA48" i="14"/>
  <c r="M13" i="11"/>
  <c r="N12" i="9"/>
  <c r="Q12" i="8"/>
  <c r="Q12" i="7"/>
  <c r="R12" i="7" s="1"/>
  <c r="O13" i="2" s="1"/>
  <c r="Q13" i="2" s="1"/>
  <c r="V13" i="2"/>
  <c r="M14" i="11"/>
  <c r="N13" i="9"/>
  <c r="Q13" i="7"/>
  <c r="R13" i="7" s="1"/>
  <c r="O14" i="2" s="1"/>
  <c r="Q14" i="2" s="1"/>
  <c r="Q13" i="8"/>
  <c r="V14" i="2"/>
  <c r="M16" i="11"/>
  <c r="N15" i="9"/>
  <c r="Q15" i="8"/>
  <c r="Q15" i="7"/>
  <c r="R15" i="7" s="1"/>
  <c r="O16" i="2" s="1"/>
  <c r="Q16" i="2" s="1"/>
  <c r="V16" i="2"/>
  <c r="M12" i="11"/>
  <c r="N11" i="9"/>
  <c r="Q11" i="7"/>
  <c r="R11" i="7" s="1"/>
  <c r="O12" i="2" s="1"/>
  <c r="Q12" i="2" s="1"/>
  <c r="Q11" i="8"/>
  <c r="V12" i="2"/>
  <c r="M15" i="11"/>
  <c r="N14" i="9"/>
  <c r="V15" i="2"/>
  <c r="Q14" i="7"/>
  <c r="R14" i="7" s="1"/>
  <c r="O15" i="2" s="1"/>
  <c r="Q15" i="2" s="1"/>
  <c r="Q14" i="8"/>
  <c r="CF9" i="16" l="1"/>
  <c r="CG9" i="16" s="1"/>
  <c r="CJ9" i="16" s="1"/>
  <c r="C25" i="5" s="1"/>
  <c r="DY11" i="16"/>
  <c r="I17" i="6"/>
  <c r="AI11" i="2"/>
  <c r="AQ11" i="2" s="1"/>
  <c r="AS11" i="2" s="1"/>
  <c r="BF11" i="2" s="1"/>
  <c r="DL12" i="16"/>
  <c r="AS48" i="14"/>
  <c r="AU48" i="14" s="1"/>
  <c r="AC48" i="14"/>
  <c r="W15" i="2"/>
  <c r="O15" i="9"/>
  <c r="S16" i="2" s="1"/>
  <c r="S15" i="9"/>
  <c r="T15" i="9" s="1"/>
  <c r="T16" i="2" s="1"/>
  <c r="W13" i="2"/>
  <c r="O13" i="9"/>
  <c r="S14" i="2" s="1"/>
  <c r="S13" i="9"/>
  <c r="T13" i="9" s="1"/>
  <c r="T14" i="2" s="1"/>
  <c r="O14" i="9"/>
  <c r="S15" i="2" s="1"/>
  <c r="S14" i="9"/>
  <c r="T14" i="9" s="1"/>
  <c r="T15" i="2" s="1"/>
  <c r="O12" i="9"/>
  <c r="S13" i="2" s="1"/>
  <c r="S12" i="9"/>
  <c r="T12" i="9" s="1"/>
  <c r="T13" i="2" s="1"/>
  <c r="O11" i="9"/>
  <c r="S12" i="2" s="1"/>
  <c r="S11" i="9"/>
  <c r="T11" i="9" s="1"/>
  <c r="T12" i="2" s="1"/>
  <c r="W14" i="2"/>
  <c r="AA43" i="14"/>
  <c r="W16" i="2"/>
  <c r="O12" i="11"/>
  <c r="X12" i="11"/>
  <c r="AA12" i="11" s="1"/>
  <c r="O16" i="11"/>
  <c r="X16" i="11"/>
  <c r="AA16" i="11" s="1"/>
  <c r="W12" i="2"/>
  <c r="O14" i="11"/>
  <c r="X14" i="11"/>
  <c r="AA14" i="11" s="1"/>
  <c r="O15" i="11"/>
  <c r="X15" i="11"/>
  <c r="AA15" i="11" s="1"/>
  <c r="O13" i="11"/>
  <c r="X13" i="11"/>
  <c r="AA13" i="11" s="1"/>
  <c r="DJ9" i="16" l="1"/>
  <c r="DY12" i="16"/>
  <c r="I18" i="6"/>
  <c r="AA24" i="14"/>
  <c r="AA25" i="14"/>
  <c r="X12" i="2"/>
  <c r="AA32" i="14" s="1"/>
  <c r="X15" i="2"/>
  <c r="AH15" i="2" s="1"/>
  <c r="K15" i="11" s="1"/>
  <c r="X13" i="2"/>
  <c r="AH13" i="2" s="1"/>
  <c r="K13" i="11" s="1"/>
  <c r="X14" i="2"/>
  <c r="AH14" i="2" s="1"/>
  <c r="K14" i="11" s="1"/>
  <c r="AB14" i="11" s="1"/>
  <c r="AC14" i="11" s="1"/>
  <c r="X16" i="2"/>
  <c r="AH16" i="2" s="1"/>
  <c r="K16" i="11" s="1"/>
  <c r="K7" i="11"/>
  <c r="AB7" i="11" s="1"/>
  <c r="AC7" i="11" s="1"/>
  <c r="AF7" i="11" s="1"/>
  <c r="B33" i="5"/>
  <c r="DO9" i="16" l="1"/>
  <c r="B37" i="5" s="1"/>
  <c r="AH12" i="2"/>
  <c r="K12" i="11" s="1"/>
  <c r="AB12" i="11" s="1"/>
  <c r="AC12" i="11" s="1"/>
  <c r="AF12" i="11" s="1"/>
  <c r="AI7" i="2"/>
  <c r="AQ7" i="2" s="1"/>
  <c r="AS7" i="2" s="1"/>
  <c r="DL8" i="16"/>
  <c r="AA33" i="14"/>
  <c r="AA49" i="14"/>
  <c r="AS49" i="14" s="1"/>
  <c r="AA36" i="14"/>
  <c r="AA53" i="14" s="1"/>
  <c r="AA35" i="14"/>
  <c r="AS35" i="14" s="1"/>
  <c r="AA52" i="14"/>
  <c r="AS52" i="14" s="1"/>
  <c r="AS36" i="14"/>
  <c r="AS25" i="14"/>
  <c r="AA44" i="14"/>
  <c r="AS32" i="14"/>
  <c r="AA50" i="14"/>
  <c r="AS33" i="14"/>
  <c r="AS24" i="14"/>
  <c r="AA31" i="14"/>
  <c r="AS31" i="14" s="1"/>
  <c r="AA34" i="14"/>
  <c r="AS34" i="14" s="1"/>
  <c r="AA37" i="14"/>
  <c r="AQ14" i="2"/>
  <c r="AS14" i="2" s="1"/>
  <c r="BF14" i="2" s="1"/>
  <c r="AA15" i="14"/>
  <c r="AS15" i="14" s="1"/>
  <c r="AB13" i="11"/>
  <c r="AC13" i="11" s="1"/>
  <c r="AF13" i="11" s="1"/>
  <c r="AA14" i="14"/>
  <c r="AS14" i="14" s="1"/>
  <c r="AB15" i="11"/>
  <c r="AC15" i="11" s="1"/>
  <c r="AF15" i="11" s="1"/>
  <c r="AA17" i="14"/>
  <c r="AS17" i="14" s="1"/>
  <c r="AA16" i="14"/>
  <c r="AS16" i="14" s="1"/>
  <c r="AA5" i="14"/>
  <c r="AA6" i="14"/>
  <c r="AS6" i="14" s="1"/>
  <c r="AA13" i="14"/>
  <c r="AS13" i="14" s="1"/>
  <c r="AB16" i="11"/>
  <c r="AC16" i="11" s="1"/>
  <c r="AF16" i="11" s="1"/>
  <c r="AA18" i="14"/>
  <c r="AS18" i="14" s="1"/>
  <c r="C33" i="5"/>
  <c r="C34" i="5" s="1"/>
  <c r="AA12" i="14" l="1"/>
  <c r="AS12" i="14" s="1"/>
  <c r="DY9" i="16"/>
  <c r="B40" i="5" s="1"/>
  <c r="DY8" i="16"/>
  <c r="I14" i="6"/>
  <c r="AI13" i="2"/>
  <c r="AQ13" i="2" s="1"/>
  <c r="AS13" i="2" s="1"/>
  <c r="BF13" i="2" s="1"/>
  <c r="DL14" i="16"/>
  <c r="DY14" i="16" s="1"/>
  <c r="AI12" i="2"/>
  <c r="AQ12" i="2" s="1"/>
  <c r="AS12" i="2" s="1"/>
  <c r="BF12" i="2" s="1"/>
  <c r="AI16" i="2"/>
  <c r="AQ16" i="2" s="1"/>
  <c r="AS16" i="2" s="1"/>
  <c r="BF16" i="2" s="1"/>
  <c r="AI15" i="2"/>
  <c r="AQ15" i="2" s="1"/>
  <c r="AS15" i="2" s="1"/>
  <c r="BF15" i="2" s="1"/>
  <c r="DL16" i="16"/>
  <c r="AS55" i="14"/>
  <c r="AA55" i="14"/>
  <c r="AS44" i="14"/>
  <c r="AU44" i="14" s="1"/>
  <c r="AC44" i="14"/>
  <c r="AS50" i="14"/>
  <c r="AU50" i="14" s="1"/>
  <c r="AC50" i="14"/>
  <c r="AS53" i="14"/>
  <c r="AU53" i="14" s="1"/>
  <c r="AC53" i="14"/>
  <c r="AA51" i="14"/>
  <c r="AS37" i="14"/>
  <c r="AA54" i="14"/>
  <c r="AS38" i="14"/>
  <c r="AA38" i="14"/>
  <c r="AA19" i="14"/>
  <c r="AS5" i="14"/>
  <c r="AS19" i="14" s="1"/>
  <c r="BF7" i="2"/>
  <c r="DY16" i="16" l="1"/>
  <c r="I19" i="6"/>
  <c r="DL13" i="16"/>
  <c r="DY13" i="16" s="1"/>
  <c r="DL17" i="16"/>
  <c r="AS54" i="14"/>
  <c r="AU54" i="14" s="1"/>
  <c r="AC54" i="14"/>
  <c r="AS51" i="14"/>
  <c r="AU51" i="14" s="1"/>
  <c r="AC51" i="14"/>
  <c r="DY17" i="16" l="1"/>
  <c r="I20" i="6"/>
  <c r="H9" i="6" s="1"/>
  <c r="H11" i="6" s="1"/>
</calcChain>
</file>

<file path=xl/comments1.xml><?xml version="1.0" encoding="utf-8"?>
<comments xmlns="http://schemas.openxmlformats.org/spreadsheetml/2006/main">
  <authors>
    <author>ktt</author>
  </authors>
  <commentList>
    <comment ref="N4" authorId="0" shapeId="0">
      <text>
        <r>
          <rPr>
            <b/>
            <sz val="9"/>
            <color indexed="81"/>
            <rFont val="Tahoma"/>
            <family val="2"/>
          </rPr>
          <t>ktt:</t>
        </r>
        <r>
          <rPr>
            <sz val="9"/>
            <color indexed="81"/>
            <rFont val="Tahoma"/>
            <family val="2"/>
          </rPr>
          <t xml:space="preserve">
Tự động, có thể tùy chỉnh</t>
        </r>
      </text>
    </comment>
    <comment ref="BH4" authorId="0" shapeId="0">
      <text>
        <r>
          <rPr>
            <b/>
            <sz val="9"/>
            <color indexed="81"/>
            <rFont val="Tahoma"/>
            <family val="2"/>
          </rPr>
          <t>ktt:</t>
        </r>
        <r>
          <rPr>
            <sz val="9"/>
            <color indexed="81"/>
            <rFont val="Tahoma"/>
            <family val="2"/>
          </rPr>
          <t xml:space="preserve">
Chọn tay</t>
        </r>
      </text>
    </comment>
    <comment ref="AR5" authorId="0" shapeId="0">
      <text>
        <r>
          <rPr>
            <b/>
            <sz val="9"/>
            <color indexed="81"/>
            <rFont val="Tahoma"/>
            <family val="2"/>
          </rPr>
          <t>ktt:</t>
        </r>
        <r>
          <rPr>
            <sz val="9"/>
            <color indexed="81"/>
            <rFont val="Tahoma"/>
            <family val="2"/>
          </rPr>
          <t xml:space="preserve">
Tự động chọn, cho phép bỏ chọn</t>
        </r>
      </text>
    </comment>
    <comment ref="AU5" authorId="0" shapeId="0">
      <text>
        <r>
          <rPr>
            <b/>
            <sz val="9"/>
            <color indexed="81"/>
            <rFont val="Tahoma"/>
            <family val="2"/>
          </rPr>
          <t>ktt:</t>
        </r>
        <r>
          <rPr>
            <sz val="9"/>
            <color indexed="81"/>
            <rFont val="Tahoma"/>
            <family val="2"/>
          </rPr>
          <t xml:space="preserve">
Chọn tay</t>
        </r>
      </text>
    </comment>
    <comment ref="AX5" authorId="0" shapeId="0">
      <text>
        <r>
          <rPr>
            <b/>
            <sz val="9"/>
            <color indexed="81"/>
            <rFont val="Tahoma"/>
            <family val="2"/>
          </rPr>
          <t>ktt:</t>
        </r>
        <r>
          <rPr>
            <sz val="9"/>
            <color indexed="81"/>
            <rFont val="Tahoma"/>
            <family val="2"/>
          </rPr>
          <t xml:space="preserve">
Chọn tay</t>
        </r>
      </text>
    </comment>
    <comment ref="BD5" authorId="0" shapeId="0">
      <text>
        <r>
          <rPr>
            <b/>
            <sz val="9"/>
            <color indexed="81"/>
            <rFont val="Tahoma"/>
            <family val="2"/>
          </rPr>
          <t>ktt:</t>
        </r>
        <r>
          <rPr>
            <sz val="9"/>
            <color indexed="81"/>
            <rFont val="Tahoma"/>
            <family val="2"/>
          </rPr>
          <t xml:space="preserve">
Chọn tay</t>
        </r>
      </text>
    </comment>
  </commentList>
</comments>
</file>

<file path=xl/comments2.xml><?xml version="1.0" encoding="utf-8"?>
<comments xmlns="http://schemas.openxmlformats.org/spreadsheetml/2006/main">
  <authors>
    <author>ktt</author>
  </authors>
  <commentList>
    <comment ref="N4" authorId="0" shapeId="0">
      <text>
        <r>
          <rPr>
            <b/>
            <sz val="9"/>
            <color indexed="81"/>
            <rFont val="Tahoma"/>
            <family val="2"/>
          </rPr>
          <t>ktt:</t>
        </r>
        <r>
          <rPr>
            <sz val="9"/>
            <color indexed="81"/>
            <rFont val="Tahoma"/>
            <family val="2"/>
          </rPr>
          <t xml:space="preserve">
Tự động, có thể tùy chỉnh</t>
        </r>
      </text>
    </comment>
    <comment ref="EA4" authorId="0" shapeId="0">
      <text>
        <r>
          <rPr>
            <b/>
            <sz val="9"/>
            <color indexed="81"/>
            <rFont val="Tahoma"/>
            <family val="2"/>
          </rPr>
          <t>ktt:</t>
        </r>
        <r>
          <rPr>
            <sz val="9"/>
            <color indexed="81"/>
            <rFont val="Tahoma"/>
            <family val="2"/>
          </rPr>
          <t xml:space="preserve">
Chọn tay</t>
        </r>
      </text>
    </comment>
    <comment ref="DK5" authorId="0" shapeId="0">
      <text>
        <r>
          <rPr>
            <b/>
            <sz val="9"/>
            <color indexed="81"/>
            <rFont val="Tahoma"/>
            <family val="2"/>
          </rPr>
          <t>ktt:</t>
        </r>
        <r>
          <rPr>
            <sz val="9"/>
            <color indexed="81"/>
            <rFont val="Tahoma"/>
            <family val="2"/>
          </rPr>
          <t xml:space="preserve">
Tự động chọn, cho phép bỏ chọn</t>
        </r>
      </text>
    </comment>
    <comment ref="DN5" authorId="0" shapeId="0">
      <text>
        <r>
          <rPr>
            <b/>
            <sz val="9"/>
            <color indexed="81"/>
            <rFont val="Tahoma"/>
            <family val="2"/>
          </rPr>
          <t>ktt:</t>
        </r>
        <r>
          <rPr>
            <sz val="9"/>
            <color indexed="81"/>
            <rFont val="Tahoma"/>
            <family val="2"/>
          </rPr>
          <t xml:space="preserve">
Chọn tay</t>
        </r>
      </text>
    </comment>
    <comment ref="DQ5" authorId="0" shapeId="0">
      <text>
        <r>
          <rPr>
            <b/>
            <sz val="9"/>
            <color indexed="81"/>
            <rFont val="Tahoma"/>
            <family val="2"/>
          </rPr>
          <t>ktt:</t>
        </r>
        <r>
          <rPr>
            <sz val="9"/>
            <color indexed="81"/>
            <rFont val="Tahoma"/>
            <family val="2"/>
          </rPr>
          <t xml:space="preserve">
Chọn tay</t>
        </r>
      </text>
    </comment>
    <comment ref="DW5" authorId="0" shapeId="0">
      <text>
        <r>
          <rPr>
            <b/>
            <sz val="9"/>
            <color indexed="81"/>
            <rFont val="Tahoma"/>
            <family val="2"/>
          </rPr>
          <t>ktt:</t>
        </r>
        <r>
          <rPr>
            <sz val="9"/>
            <color indexed="81"/>
            <rFont val="Tahoma"/>
            <family val="2"/>
          </rPr>
          <t xml:space="preserve">
Chọn tay</t>
        </r>
      </text>
    </comment>
  </commentList>
</comments>
</file>

<file path=xl/sharedStrings.xml><?xml version="1.0" encoding="utf-8"?>
<sst xmlns="http://schemas.openxmlformats.org/spreadsheetml/2006/main" count="1753" uniqueCount="483">
  <si>
    <t>TT</t>
  </si>
  <si>
    <t>Mã NV</t>
  </si>
  <si>
    <t>Phòng</t>
  </si>
  <si>
    <t>Họ tên</t>
  </si>
  <si>
    <t>VP</t>
  </si>
  <si>
    <t>Chức vụ</t>
  </si>
  <si>
    <t>Cấp bậc</t>
  </si>
  <si>
    <t>Loai HDLD</t>
  </si>
  <si>
    <t>Email</t>
  </si>
  <si>
    <t>Trạng
 thái</t>
  </si>
  <si>
    <t>Mức Lương</t>
  </si>
  <si>
    <t>Tổng Mức Lg</t>
  </si>
  <si>
    <t>Phụ cấp Lương</t>
  </si>
  <si>
    <t>Lương khác</t>
  </si>
  <si>
    <t>Lương theo Ngày công</t>
  </si>
  <si>
    <t>Phụ cấp theo NC</t>
  </si>
  <si>
    <t>TỔNG TIỀN LƯƠNG &amp; PHỤ CẤP (bao gồm lương tháng trước)</t>
  </si>
  <si>
    <t>CÁC KHOẢN KHẤU TRỪ LƯƠNG</t>
  </si>
  <si>
    <t>LƯƠNG THỰC LĨNH</t>
  </si>
  <si>
    <t>THANH TOÁN LƯƠNG</t>
  </si>
  <si>
    <t>Tài khoản</t>
  </si>
  <si>
    <t>Lương theo cấp bậc chức vụ</t>
  </si>
  <si>
    <t>Lương thâm niên</t>
  </si>
  <si>
    <t>Phụ cấp</t>
  </si>
  <si>
    <t>Hỗ trợ Laptop</t>
  </si>
  <si>
    <t>Hỗ trợ xăng xe điện thoại</t>
  </si>
  <si>
    <t>Lương tháng 13</t>
  </si>
  <si>
    <t>Thưởng MG</t>
  </si>
  <si>
    <t>Thưởng hiệu quả công việc</t>
  </si>
  <si>
    <t>Ngày công hưởng lương</t>
  </si>
  <si>
    <t>Thuế TNCN</t>
  </si>
  <si>
    <t>Bảo hiểm phải đóng</t>
  </si>
  <si>
    <t>Công đoàn</t>
  </si>
  <si>
    <t>Quỹ văn hóa</t>
  </si>
  <si>
    <t>Phạt hành chính</t>
  </si>
  <si>
    <t>Tạm ứng</t>
  </si>
  <si>
    <t>Phát lương lần 1</t>
  </si>
  <si>
    <t>Phát lương lần 2</t>
  </si>
  <si>
    <t>Phát lương lần 3</t>
  </si>
  <si>
    <t>Còn lại</t>
  </si>
  <si>
    <t>Số tài khoản</t>
  </si>
  <si>
    <t>Tên tài khoản</t>
  </si>
  <si>
    <t>Ngân hàng</t>
  </si>
  <si>
    <t>HCM</t>
  </si>
  <si>
    <t>STT</t>
  </si>
  <si>
    <t>Mã nhân viên</t>
  </si>
  <si>
    <t>Tên nhân viên (khôngdấu)</t>
  </si>
  <si>
    <t>Tên nhân viên</t>
  </si>
  <si>
    <t>Hợp đồng LD - Trạng thái</t>
  </si>
  <si>
    <t>Ngày  (Hợp đồng)</t>
  </si>
  <si>
    <t>Ngày sinh</t>
  </si>
  <si>
    <t>Giới tính</t>
  </si>
  <si>
    <t>Số điện thoại</t>
  </si>
  <si>
    <t>Hộ khẩu</t>
  </si>
  <si>
    <t>Nơi tạm trú/Chỗ ở hiện tại</t>
  </si>
  <si>
    <t>CMND</t>
  </si>
  <si>
    <t>Ngày cấp</t>
  </si>
  <si>
    <t>Nơi cấp</t>
  </si>
  <si>
    <t>Email cá nhân</t>
  </si>
  <si>
    <t>Email cấp quản lý</t>
  </si>
  <si>
    <t>Hồ sơ giảm trừ gia cảnh</t>
  </si>
  <si>
    <t>Mã số thuế cá nhân</t>
  </si>
  <si>
    <t>Cấp bậc tháng trước</t>
  </si>
  <si>
    <t>Cấp bậc điều chỉnh trong tháng</t>
  </si>
  <si>
    <t>Ngày điều chỉnh</t>
  </si>
  <si>
    <t>Hợp đồng LD</t>
  </si>
  <si>
    <t>Bắt đầu CTV/TT</t>
  </si>
  <si>
    <t>Bắt đầu Thử việc</t>
  </si>
  <si>
    <t>Bắt đầu Chính thức</t>
  </si>
  <si>
    <t>Ngày nghỉ việc</t>
  </si>
  <si>
    <t>Số người phụ thuộc</t>
  </si>
  <si>
    <t>Tháng bắt đầu giảm trừ</t>
  </si>
  <si>
    <t>Tháng kết thúc giảm trừ</t>
  </si>
  <si>
    <t>Tình trạng nộp hồ sơ GTGC</t>
  </si>
  <si>
    <t>Đơn vị cấp</t>
  </si>
  <si>
    <t>Tài khoản thụ hưởng</t>
  </si>
  <si>
    <t>Tên người thụ hưởng</t>
  </si>
  <si>
    <t>Mã chi nhánh Ngân hàng thụ hưởng</t>
  </si>
  <si>
    <t>Ghi chú</t>
  </si>
  <si>
    <t>Số TK</t>
  </si>
  <si>
    <t>Tên TK</t>
  </si>
  <si>
    <t>Mã Chi nhánh theo MSB</t>
  </si>
  <si>
    <t>Chi nhánh</t>
  </si>
  <si>
    <t>HN</t>
  </si>
  <si>
    <t>CT</t>
  </si>
  <si>
    <t>Trưởng phòng</t>
  </si>
  <si>
    <t>Nhân viên</t>
  </si>
  <si>
    <t>S1</t>
  </si>
  <si>
    <t>C4</t>
  </si>
  <si>
    <t>C3</t>
  </si>
  <si>
    <t>Nam</t>
  </si>
  <si>
    <t>C2</t>
  </si>
  <si>
    <t>C1</t>
  </si>
  <si>
    <t>Thông tin ngân hàng ưu tiên thanh toán</t>
  </si>
  <si>
    <t>2. TPB</t>
  </si>
  <si>
    <t>ADS01</t>
  </si>
  <si>
    <t>ADS02</t>
  </si>
  <si>
    <t>ADS03</t>
  </si>
  <si>
    <t>ADS04</t>
  </si>
  <si>
    <t>ADS05</t>
  </si>
  <si>
    <t>ADS06</t>
  </si>
  <si>
    <t>ADS07</t>
  </si>
  <si>
    <t>ADS08</t>
  </si>
  <si>
    <t>ADS09</t>
  </si>
  <si>
    <t>ADS10</t>
  </si>
  <si>
    <t>Nguyễn Văn A</t>
  </si>
  <si>
    <t>Nguyễn Văn B</t>
  </si>
  <si>
    <t>Nguyễn Văn H</t>
  </si>
  <si>
    <t>Nguyễn Văn C</t>
  </si>
  <si>
    <t>Nguyễn Văn D</t>
  </si>
  <si>
    <t>Nguyễn Văn E</t>
  </si>
  <si>
    <t>Nguyễn Văn F</t>
  </si>
  <si>
    <t>Nguyễn Văn G</t>
  </si>
  <si>
    <t>Nguyễn Văn I</t>
  </si>
  <si>
    <t>Nguyễn Văn K</t>
  </si>
  <si>
    <t>TP C1</t>
  </si>
  <si>
    <t>CG HN</t>
  </si>
  <si>
    <t>anv@novaon.vn</t>
  </si>
  <si>
    <t>bnv@novaon.vn</t>
  </si>
  <si>
    <t>cnv@novaon.vn</t>
  </si>
  <si>
    <t>dnv@novaon.vn</t>
  </si>
  <si>
    <t>env@novaon.vn</t>
  </si>
  <si>
    <t>fnv@novaon.vn</t>
  </si>
  <si>
    <t>gnv@novaon.vn</t>
  </si>
  <si>
    <t>hnv@novaon.vn</t>
  </si>
  <si>
    <t>inv@novaon.vn</t>
  </si>
  <si>
    <t>knv@novaon.vn</t>
  </si>
  <si>
    <t>bom@novaon.vn</t>
  </si>
  <si>
    <t>Đã nộp</t>
  </si>
  <si>
    <t>MSB001</t>
  </si>
  <si>
    <t>MSB002</t>
  </si>
  <si>
    <t>MSB003</t>
  </si>
  <si>
    <t>MSB004</t>
  </si>
  <si>
    <t>MSB005</t>
  </si>
  <si>
    <t>MSB006</t>
  </si>
  <si>
    <t>MSB007</t>
  </si>
  <si>
    <t>MSB008</t>
  </si>
  <si>
    <t>MSH009</t>
  </si>
  <si>
    <t>MSH0010</t>
  </si>
  <si>
    <t>KHA</t>
  </si>
  <si>
    <t>TPB001</t>
  </si>
  <si>
    <t>TPB002</t>
  </si>
  <si>
    <t>TPB003</t>
  </si>
  <si>
    <t>TPB004</t>
  </si>
  <si>
    <t>TPB005</t>
  </si>
  <si>
    <t>TPB006</t>
  </si>
  <si>
    <t>TPB007</t>
  </si>
  <si>
    <t>TPB008</t>
  </si>
  <si>
    <t>TPB009</t>
  </si>
  <si>
    <t>TPB010</t>
  </si>
  <si>
    <t>KHB</t>
  </si>
  <si>
    <t>Ngày đủ công trong tháng:</t>
  </si>
  <si>
    <t>MA NHAN VIEN</t>
  </si>
  <si>
    <t>PHONG</t>
  </si>
  <si>
    <t>TEN NHAN VIEN 
(KO DAU)</t>
  </si>
  <si>
    <t>TEN NHAN VIEN</t>
  </si>
  <si>
    <t>CHUC VU</t>
  </si>
  <si>
    <t>CAP BAC</t>
  </si>
  <si>
    <t>HD</t>
  </si>
  <si>
    <t>EMAIL</t>
  </si>
  <si>
    <t>MUC LUONG HUONG</t>
  </si>
  <si>
    <t>MUC DONG BHXH</t>
  </si>
  <si>
    <t>CHAM CONG</t>
  </si>
  <si>
    <t>HO TRO LATOP</t>
  </si>
  <si>
    <t>Phụ cấp thâm niên</t>
  </si>
  <si>
    <t>Phạt đi muộn</t>
  </si>
  <si>
    <t>Tổng phạt</t>
  </si>
  <si>
    <t>BHXH</t>
  </si>
  <si>
    <t>BHYT</t>
  </si>
  <si>
    <t>BHTN</t>
  </si>
  <si>
    <t>KPCĐ</t>
  </si>
  <si>
    <t>Tổng khấu trừ nhân viên</t>
  </si>
  <si>
    <t>Tổng Công ty chi trả</t>
  </si>
  <si>
    <t>Ghi chú - Hoãn thanh toán lương</t>
  </si>
  <si>
    <t>LUONG THANG TRUOC</t>
  </si>
  <si>
    <t>LUONG DIEU CHINH</t>
  </si>
  <si>
    <t>NGAY DIEU CHINH</t>
  </si>
  <si>
    <t>NOI DUNG DIEU CHINH</t>
  </si>
  <si>
    <t>Tổng ngày
 công hưởng lương</t>
  </si>
  <si>
    <t>Tổng</t>
  </si>
  <si>
    <t>Mức hỗ trợ</t>
  </si>
  <si>
    <t>Số tiền</t>
  </si>
  <si>
    <t>Phụ cấp xăng xe</t>
  </si>
  <si>
    <t>Phụ cấp điện thoại</t>
  </si>
  <si>
    <t>Phụ cấp khác</t>
  </si>
  <si>
    <t>Tổng phụ cấp</t>
  </si>
  <si>
    <t>Số phút</t>
  </si>
  <si>
    <t>Tiền phạt</t>
  </si>
  <si>
    <t>Nhân viên đóng</t>
  </si>
  <si>
    <t>Công ty chi trả</t>
  </si>
  <si>
    <t>Trước điều chỉnh</t>
  </si>
  <si>
    <t>Sau điều chỉnh</t>
  </si>
  <si>
    <t>Phụ cấp xăng xe, điện thoại</t>
  </si>
  <si>
    <t>NguyenVanA</t>
  </si>
  <si>
    <t>NguyenVanB</t>
  </si>
  <si>
    <t>NguyenVanC</t>
  </si>
  <si>
    <t>NguyenVanD</t>
  </si>
  <si>
    <t>NguyenVanE</t>
  </si>
  <si>
    <t>NguyenVanF</t>
  </si>
  <si>
    <t>NguyenVanG</t>
  </si>
  <si>
    <t>NguyenVanH</t>
  </si>
  <si>
    <t>NguyenVanI</t>
  </si>
  <si>
    <t>NguyenVanK</t>
  </si>
  <si>
    <t>TP C2</t>
  </si>
  <si>
    <t>TP C3</t>
  </si>
  <si>
    <t>TP KPC</t>
  </si>
  <si>
    <t>Tăng lương do tăng cấp</t>
  </si>
  <si>
    <t>HỒ SƠ NHÂN SỰ</t>
  </si>
  <si>
    <t>Vào chính thức</t>
  </si>
  <si>
    <t>% điều chỉnh</t>
  </si>
  <si>
    <t>% được hưởng tháng trước</t>
  </si>
  <si>
    <t>Nội dung điều chỉnh</t>
  </si>
  <si>
    <t>Đủ 3 năm công tác</t>
  </si>
  <si>
    <t>Phạt khác</t>
  </si>
  <si>
    <t>Phạt</t>
  </si>
  <si>
    <t>Lý do</t>
  </si>
  <si>
    <t>Email quản lý</t>
  </si>
  <si>
    <t>ERP</t>
  </si>
  <si>
    <t>HO TEN</t>
  </si>
  <si>
    <t>#</t>
  </si>
  <si>
    <t>OFF</t>
  </si>
  <si>
    <t>ON</t>
  </si>
  <si>
    <t>Mức lương lên bảng lương</t>
  </si>
  <si>
    <t>Bảng tính mức lương cứng</t>
  </si>
  <si>
    <t>Mức thâm niên</t>
  </si>
  <si>
    <t>Công tính % thâm niên</t>
  </si>
  <si>
    <t>Mức lương 1</t>
  </si>
  <si>
    <t>Tỷ lệ thâm niên 1</t>
  </si>
  <si>
    <t>Mức lương 2</t>
  </si>
  <si>
    <t>Tỷ lệ thâm niên 2</t>
  </si>
  <si>
    <t>Số ngày (1)</t>
  </si>
  <si>
    <t>Số ngày (2)</t>
  </si>
  <si>
    <t>Số ngày (3)</t>
  </si>
  <si>
    <t>Số ngày (4)</t>
  </si>
  <si>
    <t>Check</t>
  </si>
  <si>
    <t>Số ngày hỗ trợ</t>
  </si>
  <si>
    <t>Hỗ trợ laptop</t>
  </si>
  <si>
    <t>Công chuẩn</t>
  </si>
  <si>
    <t>Công thực tế</t>
  </si>
  <si>
    <t>Thưởng KPI (không thuế)</t>
  </si>
  <si>
    <t>Thưởng không thuế khác […]</t>
  </si>
  <si>
    <t>Thưởng có thuế khác […]</t>
  </si>
  <si>
    <t>Bảng tính thưởng</t>
  </si>
  <si>
    <t>Lương hiệu quả</t>
  </si>
  <si>
    <t>Tháng trước chuyển sang (không thuế)</t>
  </si>
  <si>
    <t>Bảng tính BHXH</t>
  </si>
  <si>
    <t>Mức lương đóng BH</t>
  </si>
  <si>
    <t>Công ty đóng</t>
  </si>
  <si>
    <t>KPCD</t>
  </si>
  <si>
    <t>Công ty</t>
  </si>
  <si>
    <t>TỔNG</t>
  </si>
  <si>
    <t>Tổng bảo hiểm trừ lương NV</t>
  </si>
  <si>
    <t>Phạt khác HCNS</t>
  </si>
  <si>
    <t>Trừ khác (kế toán)</t>
  </si>
  <si>
    <t>Bảng tính Thuế TNCN</t>
  </si>
  <si>
    <t>Tổng thu nhập</t>
  </si>
  <si>
    <t>Tiền ăn ca</t>
  </si>
  <si>
    <t>Ngày công</t>
  </si>
  <si>
    <t>Tiền ăn ca theo ngày công</t>
  </si>
  <si>
    <t>Thu nhập không chịu thuế 2</t>
  </si>
  <si>
    <t>Thu nhập không chịu thuế 1</t>
  </si>
  <si>
    <t>Thưởng KPI không chịu thuế</t>
  </si>
  <si>
    <t>Lương tháng trước chuyển sang (không thuế)</t>
  </si>
  <si>
    <t>Các thông tin khác (trừ lương thưởng)</t>
  </si>
  <si>
    <t>Tạm ứng (kế toán)</t>
  </si>
  <si>
    <t>Trừ khác (Kế toán)</t>
  </si>
  <si>
    <t>Bù MG</t>
  </si>
  <si>
    <t>Thẻ xe</t>
  </si>
  <si>
    <t>Thẻ BHYT</t>
  </si>
  <si>
    <t>Đi họp muộn</t>
  </si>
  <si>
    <t>Phạt KSNB</t>
  </si>
  <si>
    <t>Khác 1 […]</t>
  </si>
  <si>
    <t>Lý do phạt khác</t>
  </si>
  <si>
    <t>Các khoản khác trừ lương</t>
  </si>
  <si>
    <t>Các khoản trừ thuế TNCN</t>
  </si>
  <si>
    <t>Giảm trừ thu nhập chịu thuế</t>
  </si>
  <si>
    <t>Giảm trừ thuế TNCN</t>
  </si>
  <si>
    <t>Mức thuế TNCN cố định</t>
  </si>
  <si>
    <t>Giảm trừ thu nhập chịu thuế (Kế toán)</t>
  </si>
  <si>
    <t>Giảm trừ gia cảnh</t>
  </si>
  <si>
    <t>Giảm trừ bản thân</t>
  </si>
  <si>
    <t>NPT</t>
  </si>
  <si>
    <t>Thu nhập không chịu thuế 3</t>
  </si>
  <si>
    <t>[…]</t>
  </si>
  <si>
    <t>Tổng giảm trừ</t>
  </si>
  <si>
    <t>Thu nhập tính thuế</t>
  </si>
  <si>
    <t>Mức giảm trừ cố định (Kế toán)</t>
  </si>
  <si>
    <t>Mức thuế cố định (Kế toán)</t>
  </si>
  <si>
    <t>Thuế TNCN trừ lương</t>
  </si>
  <si>
    <t>Phát lương lần 10</t>
  </si>
  <si>
    <t>Chọn phát lương lần 1</t>
  </si>
  <si>
    <t>Chọn phát lương lần 2</t>
  </si>
  <si>
    <t>X</t>
  </si>
  <si>
    <t>Chọn phát lương lần 3</t>
  </si>
  <si>
    <t>Chọn chuyển sang tháng sau</t>
  </si>
  <si>
    <t>Chuyển sang tháng sau</t>
  </si>
  <si>
    <t>Lương khác (Kế toán)</t>
  </si>
  <si>
    <t>Maritimebank (1. MSB)</t>
  </si>
  <si>
    <t>Ngân hàng khác hệ thống MSB (2. TPB; 3. VCB)</t>
  </si>
  <si>
    <t>Ngân hàng ưu tiên thanh toán</t>
  </si>
  <si>
    <t>Mã chi nhánh</t>
  </si>
  <si>
    <t>Mã Công ty</t>
  </si>
  <si>
    <t>ADS</t>
  </si>
  <si>
    <t>Tỷ lệ trích các khoản bảo hiểm bắt buộc theo lương đóng BH</t>
  </si>
  <si>
    <t>Biểu thuế TNCN lũy tiến từng phần</t>
  </si>
  <si>
    <t>Mức thu nhập chịu thuế đến</t>
  </si>
  <si>
    <t>Thuế suất</t>
  </si>
  <si>
    <t>&gt; 80,000,000</t>
  </si>
  <si>
    <t>Loại BH</t>
  </si>
  <si>
    <t>Mức trừ</t>
  </si>
  <si>
    <t>Toàn phần</t>
  </si>
  <si>
    <t>Lũy tiến</t>
  </si>
  <si>
    <t>Bảng tính mức phụ cấp laptop, phụ cấp BD thử việc và các loại phụ cấp theo ngày được hưởng thực tế khác với ngày công thực tế</t>
  </si>
  <si>
    <t>Mức hỗ trợ laptop lên bảng lương</t>
  </si>
  <si>
    <t>PC BD</t>
  </si>
  <si>
    <t>BẢNG LƯƠNG THÁNG:</t>
  </si>
  <si>
    <t>NĂM</t>
  </si>
  <si>
    <t>Nghỉ việc</t>
  </si>
  <si>
    <t>PHỤ CẤP BD</t>
  </si>
  <si>
    <t>Phụ cấp theo ngày công thực tế</t>
  </si>
  <si>
    <t>Mức PC BD lên bảng lương</t>
  </si>
  <si>
    <t>Phụ cấp BD</t>
  </si>
  <si>
    <t>Phụ cấp khác […]</t>
  </si>
  <si>
    <t>Ghi chú: KT nhập trước ghi gửi phiếu lương</t>
  </si>
  <si>
    <t>Xin vui lòng xem chi tiết Phiếu lương như bên dưới file đính kèm</t>
  </si>
  <si>
    <t>Tháng 07</t>
  </si>
  <si>
    <t>Ngày công tiêu chuẩn</t>
  </si>
  <si>
    <t>Nội dung</t>
  </si>
  <si>
    <t>Thu nhập</t>
  </si>
  <si>
    <t>Khấu trừ</t>
  </si>
  <si>
    <t>Mức lương cứng</t>
  </si>
  <si>
    <t>Lương Thâm niên</t>
  </si>
  <si>
    <t>Tổng Mức lương + thâm niên theo ngày công</t>
  </si>
  <si>
    <t>Tổng phụ cấp + hỗ trợ laptop theo ngày công</t>
  </si>
  <si>
    <t>Lương tháng trước</t>
  </si>
  <si>
    <t>BHXH,BHYT,BHTN</t>
  </si>
  <si>
    <t>Quỹ Công đoàn</t>
  </si>
  <si>
    <t>Phạt Hành chính</t>
  </si>
  <si>
    <t>Tổng cộng</t>
  </si>
  <si>
    <t>Thu nhập còn lại thực lĩnh</t>
  </si>
  <si>
    <t>Thanh toán</t>
  </si>
  <si>
    <t>Đợt 1</t>
  </si>
  <si>
    <t>Đợt 2</t>
  </si>
  <si>
    <t>Tài khoản nhận lương</t>
  </si>
  <si>
    <t>Nếu thấy có gì thắc mắc xin vui lòng phản hồi sớm về email: allketoan.ads@novaon.vn và TP</t>
  </si>
  <si>
    <t>Xin cảm ơn,</t>
  </si>
  <si>
    <t>Copyright NOVAON(c) 2014.All rights reserved.</t>
  </si>
  <si>
    <t>Thưởng có tính thuế TNCN khác</t>
  </si>
  <si>
    <t>Thưởng không tính thuế TNCN khác</t>
  </si>
  <si>
    <t>Thưởng KPI không tính thuế TNCN</t>
  </si>
  <si>
    <t>Phạt khác (HCNS)</t>
  </si>
  <si>
    <t>…</t>
  </si>
  <si>
    <t>ADSHN170701</t>
  </si>
  <si>
    <t>Ngày lập:</t>
  </si>
  <si>
    <t>Ngân hàng/Chi nhánh</t>
  </si>
  <si>
    <t>TPBank</t>
  </si>
  <si>
    <t>Miền</t>
  </si>
  <si>
    <t>Ngân hàng thụ hưởng</t>
  </si>
  <si>
    <t>Mã chi nhánh NH thụ hưởng</t>
  </si>
  <si>
    <t>Diễn giải</t>
  </si>
  <si>
    <t>Người lập</t>
  </si>
  <si>
    <t>Người duyệt</t>
  </si>
  <si>
    <t>Kế toán thanh toán</t>
  </si>
  <si>
    <t>Ký lập</t>
  </si>
  <si>
    <t>Ký duyệt</t>
  </si>
  <si>
    <t>Xác nhận thanh toán</t>
  </si>
  <si>
    <t>Ngày duyệt: ……………</t>
  </si>
  <si>
    <t>Ngày thanh toán: ……………………………………</t>
  </si>
  <si>
    <t>Kỳ lương : THÁNG 7/2017</t>
  </si>
  <si>
    <t>Chọn công ty:</t>
  </si>
  <si>
    <t>Chọn chi nhánh:</t>
  </si>
  <si>
    <t>VCB</t>
  </si>
  <si>
    <t>LỆNH CHUYỂN LƯƠNG THÁNG 7/2017 LẦN 1</t>
  </si>
  <si>
    <t>Chọn gửi phiếu lương</t>
  </si>
  <si>
    <t>LỌC:</t>
  </si>
  <si>
    <t>Công ty:</t>
  </si>
  <si>
    <t>Chi nhánh:</t>
  </si>
  <si>
    <t>Phòng ban:</t>
  </si>
  <si>
    <t>Báo cáo Margin - Thu nhập</t>
  </si>
  <si>
    <t>Margin</t>
  </si>
  <si>
    <t>Tháng 1</t>
  </si>
  <si>
    <t>Tháng 2</t>
  </si>
  <si>
    <t>Tháng 3</t>
  </si>
  <si>
    <t>Tháng 4</t>
  </si>
  <si>
    <t>Tháng 5</t>
  </si>
  <si>
    <t>Tháng 6</t>
  </si>
  <si>
    <t>Tháng 7</t>
  </si>
  <si>
    <t>Tháng 8</t>
  </si>
  <si>
    <t>Tháng 9</t>
  </si>
  <si>
    <t>Tháng 10</t>
  </si>
  <si>
    <t>Tháng 11</t>
  </si>
  <si>
    <t>Tháng 12</t>
  </si>
  <si>
    <t>BD01 HN</t>
  </si>
  <si>
    <t>BD02 HN</t>
  </si>
  <si>
    <t>HR HN</t>
  </si>
  <si>
    <t>BD03 SG</t>
  </si>
  <si>
    <t>ERP kéo</t>
  </si>
  <si>
    <t>Cả năm</t>
  </si>
  <si>
    <t>THÁNG…</t>
  </si>
  <si>
    <t>Báo cáo tỷ lệ lương cứng trên MG</t>
  </si>
  <si>
    <t>Các loại báo cáo:</t>
  </si>
  <si>
    <t>Cấp bậc update</t>
  </si>
  <si>
    <t>Vị trí</t>
  </si>
  <si>
    <t>Báo cáo tổng hợp tỷ lệ lương cứng trên MG nhân viên</t>
  </si>
  <si>
    <t>Tỷ lệ T1</t>
  </si>
  <si>
    <t>Tỷ lệ T2</t>
  </si>
  <si>
    <t>Tỷ lệ T3</t>
  </si>
  <si>
    <t>Tỷ lệ T4</t>
  </si>
  <si>
    <t>Tỷ lệ T5</t>
  </si>
  <si>
    <t>Tỷ lệ T6</t>
  </si>
  <si>
    <t>Tỷ lệ T7</t>
  </si>
  <si>
    <t>Tỷ lệ T8</t>
  </si>
  <si>
    <t>Tỷ lệ T9</t>
  </si>
  <si>
    <t>Tỷ lệ T10</t>
  </si>
  <si>
    <t>Tỷ lệ T11</t>
  </si>
  <si>
    <t>Tỷ lệ T12</t>
  </si>
  <si>
    <t>Tỷ lệ cả năm</t>
  </si>
  <si>
    <t>Lg cứng</t>
  </si>
  <si>
    <t>MG</t>
  </si>
  <si>
    <t>Chuyển lương lần:</t>
  </si>
  <si>
    <t>HR</t>
  </si>
  <si>
    <t>1.1 HR-Ho so nhan su</t>
  </si>
  <si>
    <t>1.2 HR-Data luong</t>
  </si>
  <si>
    <t>Ke toan</t>
  </si>
  <si>
    <t>2.1 KT-Update ty le</t>
  </si>
  <si>
    <t>2.2 KT-THUONG</t>
  </si>
  <si>
    <t>2.3 KT-Giam tru</t>
  </si>
  <si>
    <t>3.1 ERP-Muc luong</t>
  </si>
  <si>
    <t>3.2 ERP-PC Tham nien</t>
  </si>
  <si>
    <t>3.3 ERP-PC Laptop va PC BD</t>
  </si>
  <si>
    <t>3.4 ERP-BHXH</t>
  </si>
  <si>
    <t>3.5 ERP-Thue TNCN</t>
  </si>
  <si>
    <t>4. ERP-BANG LUONG</t>
  </si>
  <si>
    <t>5. ERP-Phieu luong</t>
  </si>
  <si>
    <t>6. ERP-Lenh chuyen luong</t>
  </si>
  <si>
    <t>7. ERP-Bao cao</t>
  </si>
  <si>
    <t>Update thông tin nhân sự</t>
  </si>
  <si>
    <t>Update thông tin lương tháng …</t>
  </si>
  <si>
    <t>Update tỷ lệ trích bảo hiểm, thuế</t>
  </si>
  <si>
    <t>Update thưởng hàng tháng</t>
  </si>
  <si>
    <t>Update các khoản giảm trừ vào lương, giảm trừ thu nhập chịu thuế, giảm trừ thuế phải nộp</t>
  </si>
  <si>
    <t>Nếu có tăng giảm lương trong tháng thì ERP tự tính toán mức lương để put vào bảng lương</t>
  </si>
  <si>
    <t>Nếu có tăng giảm % thâm niên trong tháng hoặc thay đổi lương dẫn đến thay đổi PC thâm niên thì ERP tự tính toán mức lương để put vào bảng lương</t>
  </si>
  <si>
    <t>PC Laptop và PC BD tính theo thời gian được hưởng thực tế (ví dụ giao laptop giữa tháng thì được hưởng nửa tháng PC laptop)</t>
  </si>
  <si>
    <t>ERP tính toán các khoản phải nộp BHXH, KPCD theo lương Bảo hiểm</t>
  </si>
  <si>
    <t>ERP tính thuế TNCN</t>
  </si>
  <si>
    <t>ERP tính lương</t>
  </si>
  <si>
    <t>Phòng ban</t>
  </si>
  <si>
    <t>Sheet dữ liệu</t>
  </si>
  <si>
    <t>ERP gửi phiếu lương</t>
  </si>
  <si>
    <t>ERP lập lệnh chuyển lương</t>
  </si>
  <si>
    <t>ERP xuất báo cáo tỷ lệ lương trên MG</t>
  </si>
  <si>
    <t>HR thêm phần tài khoản ưu tiên nhận thanh toán lương</t>
  </si>
  <si>
    <t>Hàng tháng không đổi trừ khi có update mới thay đổi</t>
  </si>
  <si>
    <t>Thưởng do Kế toán tính toán bên ngoài, chỉ put số cứng vào bảng này để up lên bảng lương</t>
  </si>
  <si>
    <t>Các khoản giảm trừ khác ngoài các khoản giảm trừ của HCNS: Tạm ứng, phạt khác, các khoản giảm trừ thuế</t>
  </si>
  <si>
    <t>Thông tin từ dữ liệu tính lương của HR</t>
  </si>
  <si>
    <t>Thông tin từ bảng lương và từ file 2.3 KT-Giam tru</t>
  </si>
  <si>
    <t>HR thêm phần số ngày hưởng phụ cấp BD, ngày tăng % thâm niên, thêm cột nghỉ việc (ON/OFF)</t>
  </si>
  <si>
    <t>Lấy thông tin từ dữ liệu tính lương và các sheet đầu 3 (ERP tự động tính). Cho tùy chọn phát lương lần mấy. Tự động gắn lô thanh toán lương.
Cho tùy chọn có gửi phiếu lương hay không. Lưu dữ liệu đã gửi phiếu lương lần mấy.
Cho tùy chọn ON/OFF</t>
  </si>
  <si>
    <t>PHIẾU LƯƠNG Lần 1</t>
  </si>
  <si>
    <t>Tự động nâng lần gửi thứ mấy</t>
  </si>
  <si>
    <t>Lập lệnh lương theo lô thanh toán</t>
  </si>
  <si>
    <t>Lệnh chuyển lương lần 1</t>
  </si>
  <si>
    <t>Lệnh chuyển lương lần 2</t>
  </si>
  <si>
    <t>ADSHN170702</t>
  </si>
  <si>
    <t>Lệnh chuyển lương lần 3</t>
  </si>
  <si>
    <t>Lệnh chuyển lương lần 10</t>
  </si>
  <si>
    <t>MG ERP tự động kéo, tùy vào phòng ban nào mà kéo MG theo phòng ban đó (BD: MG BD, Media: MG Media, Account: MG Account, Social: MG Social …, các khối khác: MG = MG tổng của BD)</t>
  </si>
  <si>
    <t>Mã cty</t>
  </si>
  <si>
    <t>Bảng tính PC thâm niên</t>
  </si>
  <si>
    <t>Hiện</t>
  </si>
  <si>
    <t>Ẩn</t>
  </si>
  <si>
    <t>Mức hỗ trợ laptop</t>
  </si>
  <si>
    <t>Số ngày hỗ trợ laptop</t>
  </si>
  <si>
    <t>Mức hỗ trợ BD</t>
  </si>
  <si>
    <t>Số ngày hỗ trợ BD</t>
  </si>
  <si>
    <t>Phụ cấp khác […] (cột dự phòng)</t>
  </si>
  <si>
    <t>[…] Cột dự phòng</t>
  </si>
  <si>
    <t>Trừ</t>
  </si>
  <si>
    <t>Mức giảm trừ thuế TNCN</t>
  </si>
  <si>
    <t>Đợt 10</t>
  </si>
  <si>
    <t>Gộp vào sheet ERP-BANG LUONG v2</t>
  </si>
</sst>
</file>

<file path=xl/styles.xml><?xml version="1.0" encoding="utf-8"?>
<styleSheet xmlns="http://schemas.openxmlformats.org/spreadsheetml/2006/main" xmlns:mc="http://schemas.openxmlformats.org/markup-compatibility/2006" xmlns:x14ac="http://schemas.microsoft.com/office/spreadsheetml/2009/9/ac" mc:Ignorable="x14ac">
  <numFmts count="9">
    <numFmt numFmtId="43" formatCode="_(* #,##0.00_);_(* \(#,##0.00\);_(* &quot;-&quot;??_);_(@_)"/>
    <numFmt numFmtId="164" formatCode="_-* #,##0.0\ _₫_-;\-* #,##0.0\ _₫_-;_-* &quot;-&quot;??\ _₫_-;_-@_-"/>
    <numFmt numFmtId="165" formatCode="_-* #,##0\ _₫_-;\-* #,##0\ _₫_-;_-* &quot;-&quot;??\ _₫_-;_-@_-"/>
    <numFmt numFmtId="166" formatCode="[$-409]d\-mmm\-yy;@"/>
    <numFmt numFmtId="167" formatCode="#,##0.0"/>
    <numFmt numFmtId="168" formatCode="0.0%"/>
    <numFmt numFmtId="169" formatCode="_(* #,##0.0_);_(* \(#,##0.0\);_(* &quot;-&quot;??_);_(@_)"/>
    <numFmt numFmtId="170" formatCode="_(* #,##0_);_(* \(#,##0\);_(* &quot;-&quot;??_);_(@_)"/>
    <numFmt numFmtId="171" formatCode="#,##0_ ;\-#,##0\ "/>
  </numFmts>
  <fonts count="32" x14ac:knownFonts="1">
    <font>
      <sz val="11"/>
      <color theme="1"/>
      <name val="Calibri"/>
      <family val="2"/>
      <scheme val="minor"/>
    </font>
    <font>
      <sz val="11"/>
      <color theme="1"/>
      <name val="Calibri"/>
      <family val="2"/>
      <scheme val="minor"/>
    </font>
    <font>
      <b/>
      <sz val="10"/>
      <color rgb="FFFF0000"/>
      <name val="Calibri"/>
      <family val="2"/>
      <charset val="163"/>
      <scheme val="minor"/>
    </font>
    <font>
      <b/>
      <sz val="10"/>
      <color theme="0"/>
      <name val="Calibri"/>
      <family val="2"/>
      <charset val="163"/>
      <scheme val="minor"/>
    </font>
    <font>
      <sz val="10"/>
      <name val="Arial"/>
      <family val="2"/>
    </font>
    <font>
      <u/>
      <sz val="11"/>
      <color theme="10"/>
      <name val="Calibri"/>
      <family val="2"/>
      <scheme val="minor"/>
    </font>
    <font>
      <sz val="10"/>
      <color theme="1"/>
      <name val="Calibri"/>
      <family val="2"/>
      <scheme val="minor"/>
    </font>
    <font>
      <b/>
      <sz val="10"/>
      <name val="Calibri"/>
      <family val="2"/>
      <scheme val="minor"/>
    </font>
    <font>
      <b/>
      <sz val="10"/>
      <color theme="1"/>
      <name val="Calibri"/>
      <family val="2"/>
      <scheme val="minor"/>
    </font>
    <font>
      <sz val="10"/>
      <color indexed="8"/>
      <name val="Calibri"/>
      <family val="2"/>
      <scheme val="minor"/>
    </font>
    <font>
      <b/>
      <sz val="10"/>
      <color indexed="8"/>
      <name val="Calibri"/>
      <family val="2"/>
      <scheme val="minor"/>
    </font>
    <font>
      <sz val="10"/>
      <color rgb="FF000000"/>
      <name val="Calibri"/>
      <family val="2"/>
      <scheme val="minor"/>
    </font>
    <font>
      <u/>
      <sz val="10"/>
      <color theme="10"/>
      <name val="Calibri"/>
      <family val="2"/>
      <scheme val="minor"/>
    </font>
    <font>
      <b/>
      <sz val="11"/>
      <color theme="1"/>
      <name val="Calibri"/>
      <family val="2"/>
      <scheme val="minor"/>
    </font>
    <font>
      <b/>
      <sz val="9"/>
      <color theme="0"/>
      <name val="Times New Roman"/>
      <family val="1"/>
      <charset val="163"/>
    </font>
    <font>
      <b/>
      <sz val="9"/>
      <color indexed="81"/>
      <name val="Tahoma"/>
      <family val="2"/>
    </font>
    <font>
      <sz val="9"/>
      <color indexed="81"/>
      <name val="Tahoma"/>
      <family val="2"/>
    </font>
    <font>
      <b/>
      <sz val="11"/>
      <color theme="1"/>
      <name val="Calibri"/>
      <family val="2"/>
      <charset val="163"/>
      <scheme val="minor"/>
    </font>
    <font>
      <b/>
      <sz val="14"/>
      <color theme="1"/>
      <name val="Calibri"/>
      <family val="2"/>
      <charset val="163"/>
      <scheme val="minor"/>
    </font>
    <font>
      <sz val="14"/>
      <color theme="1"/>
      <name val="Calibri"/>
      <family val="2"/>
      <charset val="163"/>
      <scheme val="minor"/>
    </font>
    <font>
      <b/>
      <sz val="9"/>
      <color theme="1"/>
      <name val="Calibri"/>
      <family val="2"/>
      <charset val="163"/>
      <scheme val="minor"/>
    </font>
    <font>
      <sz val="8"/>
      <color theme="1"/>
      <name val="Calibri"/>
      <family val="2"/>
      <charset val="163"/>
      <scheme val="minor"/>
    </font>
    <font>
      <sz val="8"/>
      <color theme="1"/>
      <name val="Calibri"/>
      <family val="2"/>
      <scheme val="minor"/>
    </font>
    <font>
      <b/>
      <sz val="8"/>
      <color theme="1"/>
      <name val="Calibri"/>
      <family val="2"/>
      <charset val="163"/>
      <scheme val="minor"/>
    </font>
    <font>
      <b/>
      <sz val="8"/>
      <color theme="1"/>
      <name val="Calibri"/>
      <family val="2"/>
      <scheme val="minor"/>
    </font>
    <font>
      <i/>
      <sz val="10"/>
      <color theme="1"/>
      <name val="Arial"/>
      <family val="2"/>
    </font>
    <font>
      <sz val="10"/>
      <color theme="1"/>
      <name val="Arial"/>
      <family val="2"/>
    </font>
    <font>
      <b/>
      <sz val="10"/>
      <color theme="1"/>
      <name val="Arial"/>
      <family val="2"/>
    </font>
    <font>
      <b/>
      <sz val="10"/>
      <color rgb="FF500050"/>
      <name val="Arial"/>
      <family val="2"/>
    </font>
    <font>
      <sz val="10"/>
      <color rgb="FF500050"/>
      <name val="Arial"/>
      <family val="2"/>
    </font>
    <font>
      <u/>
      <sz val="10"/>
      <color theme="10"/>
      <name val="Arial"/>
      <family val="2"/>
    </font>
    <font>
      <b/>
      <u/>
      <sz val="10"/>
      <color theme="1"/>
      <name val="Arial"/>
      <family val="2"/>
    </font>
  </fonts>
  <fills count="19">
    <fill>
      <patternFill patternType="none"/>
    </fill>
    <fill>
      <patternFill patternType="gray125"/>
    </fill>
    <fill>
      <patternFill patternType="solid">
        <fgColor rgb="FFFFFF00"/>
        <bgColor indexed="64"/>
      </patternFill>
    </fill>
    <fill>
      <patternFill patternType="solid">
        <fgColor rgb="FFCC0066"/>
        <bgColor indexed="64"/>
      </patternFill>
    </fill>
    <fill>
      <patternFill patternType="solid">
        <fgColor theme="0"/>
        <bgColor indexed="64"/>
      </patternFill>
    </fill>
    <fill>
      <patternFill patternType="solid">
        <fgColor theme="4" tint="0.79998168889431442"/>
        <bgColor indexed="64"/>
      </patternFill>
    </fill>
    <fill>
      <patternFill patternType="solid">
        <fgColor theme="9" tint="0.59999389629810485"/>
        <bgColor indexed="64"/>
      </patternFill>
    </fill>
    <fill>
      <patternFill patternType="solid">
        <fgColor theme="7" tint="0.79998168889431442"/>
        <bgColor indexed="64"/>
      </patternFill>
    </fill>
    <fill>
      <patternFill patternType="solid">
        <fgColor theme="7" tint="0.39997558519241921"/>
        <bgColor indexed="64"/>
      </patternFill>
    </fill>
    <fill>
      <patternFill patternType="solid">
        <fgColor theme="5" tint="-0.249977111117893"/>
        <bgColor indexed="64"/>
      </patternFill>
    </fill>
    <fill>
      <patternFill patternType="solid">
        <fgColor rgb="FFBA276A"/>
        <bgColor indexed="64"/>
      </patternFill>
    </fill>
    <fill>
      <patternFill patternType="solid">
        <fgColor rgb="FFFF0000"/>
        <bgColor indexed="64"/>
      </patternFill>
    </fill>
    <fill>
      <patternFill patternType="solid">
        <fgColor theme="6" tint="0.59999389629810485"/>
        <bgColor indexed="64"/>
      </patternFill>
    </fill>
    <fill>
      <patternFill patternType="solid">
        <fgColor theme="8" tint="0.39997558519241921"/>
        <bgColor indexed="64"/>
      </patternFill>
    </fill>
    <fill>
      <patternFill patternType="solid">
        <fgColor rgb="FFFFFFFF"/>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4" tint="0.59999389629810485"/>
        <bgColor indexed="64"/>
      </patternFill>
    </fill>
    <fill>
      <patternFill patternType="solid">
        <fgColor theme="0" tint="-0.34998626667073579"/>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thin">
        <color auto="1"/>
      </left>
      <right/>
      <top style="thin">
        <color auto="1"/>
      </top>
      <bottom style="thin">
        <color auto="1"/>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hair">
        <color auto="1"/>
      </left>
      <right style="hair">
        <color auto="1"/>
      </right>
      <top style="hair">
        <color auto="1"/>
      </top>
      <bottom style="hair">
        <color auto="1"/>
      </bottom>
      <diagonal/>
    </border>
    <border>
      <left style="thin">
        <color indexed="64"/>
      </left>
      <right style="thin">
        <color indexed="64"/>
      </right>
      <top/>
      <bottom style="dotted">
        <color indexed="64"/>
      </bottom>
      <diagonal/>
    </border>
    <border>
      <left style="thin">
        <color auto="1"/>
      </left>
      <right style="thin">
        <color auto="1"/>
      </right>
      <top style="thin">
        <color auto="1"/>
      </top>
      <bottom style="hair">
        <color auto="1"/>
      </bottom>
      <diagonal/>
    </border>
    <border>
      <left style="thin">
        <color indexed="64"/>
      </left>
      <right style="thin">
        <color indexed="64"/>
      </right>
      <top style="dotted">
        <color indexed="64"/>
      </top>
      <bottom style="dotted">
        <color indexed="64"/>
      </bottom>
      <diagonal/>
    </border>
    <border>
      <left style="thin">
        <color auto="1"/>
      </left>
      <right style="thin">
        <color auto="1"/>
      </right>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auto="1"/>
      </left>
      <right/>
      <top/>
      <bottom style="thin">
        <color auto="1"/>
      </bottom>
      <diagonal/>
    </border>
    <border>
      <left/>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7">
    <xf numFmtId="0" fontId="0" fillId="0" borderId="0"/>
    <xf numFmtId="43" fontId="1" fillId="0" borderId="0" applyFont="0" applyFill="0" applyBorder="0" applyAlignment="0" applyProtection="0"/>
    <xf numFmtId="0" fontId="4" fillId="0" borderId="0"/>
    <xf numFmtId="0" fontId="1" fillId="0" borderId="0"/>
    <xf numFmtId="0" fontId="4" fillId="0" borderId="0"/>
    <xf numFmtId="9" fontId="1" fillId="0" borderId="0" applyFont="0" applyFill="0" applyBorder="0" applyAlignment="0" applyProtection="0"/>
    <xf numFmtId="0" fontId="5" fillId="0" borderId="0" applyNumberFormat="0" applyFill="0" applyBorder="0" applyAlignment="0" applyProtection="0"/>
  </cellStyleXfs>
  <cellXfs count="389">
    <xf numFmtId="0" fontId="0" fillId="0" borderId="0" xfId="0"/>
    <xf numFmtId="0" fontId="3" fillId="3" borderId="1" xfId="0" applyFont="1" applyFill="1" applyBorder="1" applyAlignment="1" applyProtection="1">
      <alignment horizontal="center" vertical="center" wrapText="1"/>
    </xf>
    <xf numFmtId="164" fontId="2" fillId="2" borderId="1" xfId="1" applyNumberFormat="1" applyFont="1" applyFill="1" applyBorder="1" applyAlignment="1" applyProtection="1">
      <alignment vertical="center" wrapText="1"/>
    </xf>
    <xf numFmtId="3" fontId="3" fillId="3" borderId="1" xfId="0" applyNumberFormat="1" applyFont="1" applyFill="1" applyBorder="1" applyAlignment="1" applyProtection="1">
      <alignment horizontal="center" vertical="center" wrapText="1"/>
    </xf>
    <xf numFmtId="164" fontId="3" fillId="3" borderId="1" xfId="1" applyNumberFormat="1" applyFont="1" applyFill="1" applyBorder="1" applyAlignment="1" applyProtection="1">
      <alignment vertical="center" wrapText="1"/>
    </xf>
    <xf numFmtId="3" fontId="3" fillId="3" borderId="1" xfId="1" applyNumberFormat="1" applyFont="1" applyFill="1" applyBorder="1" applyAlignment="1" applyProtection="1">
      <alignment horizontal="center" vertical="center" wrapText="1"/>
    </xf>
    <xf numFmtId="14" fontId="3" fillId="3" borderId="1" xfId="0" applyNumberFormat="1" applyFont="1" applyFill="1" applyBorder="1" applyAlignment="1" applyProtection="1">
      <alignment horizontal="center" vertical="center" wrapText="1"/>
    </xf>
    <xf numFmtId="0" fontId="3" fillId="3" borderId="1" xfId="0" applyFont="1" applyFill="1" applyBorder="1" applyAlignment="1" applyProtection="1">
      <alignment horizontal="center" vertical="center" wrapText="1"/>
    </xf>
    <xf numFmtId="165" fontId="7" fillId="5" borderId="1" xfId="1" applyNumberFormat="1" applyFont="1" applyFill="1" applyBorder="1" applyAlignment="1" applyProtection="1">
      <alignment horizontal="center" vertical="center" wrapText="1"/>
    </xf>
    <xf numFmtId="14" fontId="7" fillId="5" borderId="1" xfId="1" applyNumberFormat="1" applyFont="1" applyFill="1" applyBorder="1" applyAlignment="1" applyProtection="1">
      <alignment horizontal="center" vertical="center" wrapText="1"/>
    </xf>
    <xf numFmtId="0" fontId="8" fillId="5" borderId="6" xfId="1" applyNumberFormat="1" applyFont="1" applyFill="1" applyBorder="1" applyAlignment="1" applyProtection="1">
      <alignment horizontal="center" vertical="center" wrapText="1"/>
    </xf>
    <xf numFmtId="9" fontId="7" fillId="5" borderId="6" xfId="5" applyFont="1" applyFill="1" applyBorder="1" applyAlignment="1" applyProtection="1">
      <alignment horizontal="center" vertical="center" wrapText="1"/>
    </xf>
    <xf numFmtId="165" fontId="7" fillId="5" borderId="6" xfId="1" applyNumberFormat="1" applyFont="1" applyFill="1" applyBorder="1" applyAlignment="1" applyProtection="1">
      <alignment horizontal="center" vertical="center"/>
    </xf>
    <xf numFmtId="165" fontId="7" fillId="5" borderId="6" xfId="1" applyNumberFormat="1" applyFont="1" applyFill="1" applyBorder="1" applyAlignment="1" applyProtection="1">
      <alignment horizontal="center" vertical="center" wrapText="1"/>
    </xf>
    <xf numFmtId="0" fontId="6" fillId="0" borderId="0" xfId="0" applyFont="1" applyFill="1" applyBorder="1" applyAlignment="1">
      <alignment horizontal="center"/>
    </xf>
    <xf numFmtId="0" fontId="8" fillId="5" borderId="1" xfId="1" applyNumberFormat="1" applyFont="1" applyFill="1" applyBorder="1" applyAlignment="1" applyProtection="1">
      <alignment horizontal="center" vertical="center" wrapText="1"/>
    </xf>
    <xf numFmtId="9" fontId="7" fillId="2" borderId="7" xfId="1" applyNumberFormat="1" applyFont="1" applyFill="1" applyBorder="1" applyAlignment="1" applyProtection="1">
      <alignment horizontal="center" vertical="center" wrapText="1"/>
    </xf>
    <xf numFmtId="168" fontId="7" fillId="2" borderId="7" xfId="1" applyNumberFormat="1" applyFont="1" applyFill="1" applyBorder="1" applyAlignment="1" applyProtection="1">
      <alignment horizontal="center" vertical="center" wrapText="1"/>
    </xf>
    <xf numFmtId="0" fontId="9" fillId="0" borderId="10" xfId="0" applyFont="1" applyFill="1" applyBorder="1" applyAlignment="1" applyProtection="1">
      <alignment horizontal="center" vertical="center"/>
      <protection locked="0"/>
    </xf>
    <xf numFmtId="0" fontId="9" fillId="0" borderId="10" xfId="0" applyFont="1" applyFill="1" applyBorder="1" applyAlignment="1" applyProtection="1">
      <alignment horizontal="left" vertical="center"/>
      <protection locked="0"/>
    </xf>
    <xf numFmtId="3" fontId="9" fillId="0" borderId="0" xfId="0" applyNumberFormat="1" applyFont="1" applyBorder="1" applyAlignment="1" applyProtection="1">
      <alignment horizontal="center" vertical="center"/>
      <protection locked="0"/>
    </xf>
    <xf numFmtId="0" fontId="6" fillId="0" borderId="0" xfId="0" applyFont="1" applyBorder="1"/>
    <xf numFmtId="165" fontId="6" fillId="0" borderId="0" xfId="1" applyNumberFormat="1" applyFont="1" applyBorder="1"/>
    <xf numFmtId="14" fontId="6" fillId="0" borderId="0" xfId="1" applyNumberFormat="1" applyFont="1" applyBorder="1"/>
    <xf numFmtId="166" fontId="6" fillId="0" borderId="0" xfId="1" applyNumberFormat="1" applyFont="1" applyBorder="1"/>
    <xf numFmtId="9" fontId="6" fillId="0" borderId="0" xfId="5" applyFont="1" applyBorder="1" applyAlignment="1">
      <alignment horizontal="center"/>
    </xf>
    <xf numFmtId="165" fontId="6" fillId="0" borderId="0" xfId="1" applyNumberFormat="1" applyFont="1" applyFill="1" applyBorder="1"/>
    <xf numFmtId="0" fontId="6" fillId="0" borderId="0" xfId="0" applyFont="1"/>
    <xf numFmtId="0" fontId="9" fillId="7" borderId="0" xfId="0" applyFont="1" applyFill="1" applyBorder="1" applyAlignment="1" applyProtection="1">
      <alignment horizontal="left" vertical="center"/>
      <protection locked="0"/>
    </xf>
    <xf numFmtId="0" fontId="9" fillId="7" borderId="0" xfId="0" applyFont="1" applyFill="1" applyBorder="1" applyAlignment="1" applyProtection="1">
      <alignment horizontal="center" vertical="center"/>
      <protection locked="0"/>
    </xf>
    <xf numFmtId="167" fontId="10" fillId="7" borderId="0" xfId="0" applyNumberFormat="1" applyFont="1" applyFill="1" applyBorder="1" applyAlignment="1" applyProtection="1">
      <alignment horizontal="center" vertical="center"/>
      <protection locked="0"/>
    </xf>
    <xf numFmtId="0" fontId="9" fillId="6" borderId="1" xfId="0" applyFont="1" applyFill="1" applyBorder="1" applyAlignment="1" applyProtection="1">
      <alignment horizontal="center" vertical="center"/>
      <protection locked="0"/>
    </xf>
    <xf numFmtId="0" fontId="11" fillId="4" borderId="9" xfId="0" applyFont="1" applyFill="1" applyBorder="1" applyAlignment="1">
      <alignment horizontal="left" vertical="center"/>
    </xf>
    <xf numFmtId="0" fontId="6" fillId="0" borderId="12" xfId="0" applyFont="1" applyFill="1" applyBorder="1" applyAlignment="1">
      <alignment horizontal="center"/>
    </xf>
    <xf numFmtId="0" fontId="6" fillId="0" borderId="12" xfId="0" applyFont="1" applyFill="1" applyBorder="1" applyAlignment="1">
      <alignment horizontal="left"/>
    </xf>
    <xf numFmtId="165" fontId="6" fillId="0" borderId="12" xfId="1" applyNumberFormat="1" applyFont="1" applyFill="1" applyBorder="1" applyAlignment="1">
      <alignment horizontal="right"/>
    </xf>
    <xf numFmtId="165" fontId="6" fillId="4" borderId="12" xfId="1" applyNumberFormat="1" applyFont="1" applyFill="1" applyBorder="1" applyAlignment="1">
      <alignment horizontal="right"/>
    </xf>
    <xf numFmtId="165" fontId="6" fillId="0" borderId="12" xfId="1" applyNumberFormat="1" applyFont="1" applyFill="1" applyBorder="1"/>
    <xf numFmtId="0" fontId="6" fillId="0" borderId="12" xfId="1" applyNumberFormat="1" applyFont="1" applyFill="1" applyBorder="1"/>
    <xf numFmtId="0" fontId="6" fillId="0" borderId="12" xfId="1" applyNumberFormat="1" applyFont="1" applyFill="1" applyBorder="1" applyAlignment="1">
      <alignment horizontal="right"/>
    </xf>
    <xf numFmtId="9" fontId="6" fillId="0" borderId="12" xfId="5" applyFont="1" applyFill="1" applyBorder="1" applyAlignment="1">
      <alignment horizontal="center"/>
    </xf>
    <xf numFmtId="15" fontId="6" fillId="0" borderId="12" xfId="1" applyNumberFormat="1" applyFont="1" applyFill="1" applyBorder="1" applyAlignment="1">
      <alignment horizontal="right"/>
    </xf>
    <xf numFmtId="15" fontId="6" fillId="0" borderId="12" xfId="1" applyNumberFormat="1" applyFont="1" applyFill="1" applyBorder="1"/>
    <xf numFmtId="0" fontId="7" fillId="5" borderId="14" xfId="0" applyNumberFormat="1" applyFont="1" applyFill="1" applyBorder="1" applyAlignment="1" applyProtection="1">
      <alignment horizontal="center" vertical="center" wrapText="1"/>
    </xf>
    <xf numFmtId="0" fontId="8" fillId="5" borderId="14" xfId="2" applyFont="1" applyFill="1" applyBorder="1" applyAlignment="1" applyProtection="1">
      <alignment horizontal="center" vertical="center" wrapText="1"/>
    </xf>
    <xf numFmtId="0" fontId="7" fillId="5" borderId="14" xfId="4" applyFont="1" applyFill="1" applyBorder="1" applyAlignment="1" applyProtection="1">
      <alignment horizontal="center" vertical="center" wrapText="1"/>
    </xf>
    <xf numFmtId="0" fontId="7" fillId="5" borderId="14" xfId="4" applyFont="1" applyFill="1" applyBorder="1" applyAlignment="1" applyProtection="1">
      <alignment horizontal="left" vertical="center" wrapText="1"/>
    </xf>
    <xf numFmtId="0" fontId="7" fillId="2" borderId="14" xfId="4" applyFont="1" applyFill="1" applyBorder="1" applyAlignment="1" applyProtection="1">
      <alignment horizontal="center" vertical="center" wrapText="1"/>
    </xf>
    <xf numFmtId="0" fontId="9" fillId="6" borderId="14" xfId="0" applyFont="1" applyFill="1" applyBorder="1" applyAlignment="1" applyProtection="1">
      <alignment horizontal="center" vertical="center"/>
      <protection locked="0"/>
    </xf>
    <xf numFmtId="0" fontId="9" fillId="0" borderId="14" xfId="0" applyFont="1" applyBorder="1" applyAlignment="1" applyProtection="1">
      <alignment horizontal="center" vertical="center"/>
      <protection locked="0"/>
    </xf>
    <xf numFmtId="0" fontId="9" fillId="0" borderId="14" xfId="0" applyFont="1" applyBorder="1" applyAlignment="1" applyProtection="1">
      <alignment horizontal="left" vertical="center"/>
      <protection locked="0"/>
    </xf>
    <xf numFmtId="0" fontId="6" fillId="0" borderId="14" xfId="0" applyFont="1" applyBorder="1" applyAlignment="1">
      <alignment horizontal="center" vertical="center"/>
    </xf>
    <xf numFmtId="0" fontId="6" fillId="0" borderId="14" xfId="0" applyFont="1" applyFill="1" applyBorder="1" applyAlignment="1">
      <alignment vertical="center"/>
    </xf>
    <xf numFmtId="0" fontId="6" fillId="0" borderId="14" xfId="0" applyFont="1" applyFill="1" applyBorder="1" applyAlignment="1">
      <alignment horizontal="center" vertical="center"/>
    </xf>
    <xf numFmtId="15" fontId="6" fillId="0" borderId="14" xfId="0" applyNumberFormat="1" applyFont="1" applyFill="1" applyBorder="1" applyAlignment="1">
      <alignment vertical="center"/>
    </xf>
    <xf numFmtId="15" fontId="6" fillId="0" borderId="14" xfId="0" applyNumberFormat="1" applyFont="1" applyFill="1" applyBorder="1" applyAlignment="1">
      <alignment horizontal="center" vertical="center"/>
    </xf>
    <xf numFmtId="1" fontId="6" fillId="0" borderId="14" xfId="0" applyNumberFormat="1" applyFont="1" applyFill="1" applyBorder="1" applyAlignment="1">
      <alignment horizontal="center" vertical="center"/>
    </xf>
    <xf numFmtId="2" fontId="6" fillId="0" borderId="14" xfId="0" applyNumberFormat="1" applyFont="1" applyFill="1" applyBorder="1" applyAlignment="1">
      <alignment horizontal="left" vertical="center"/>
    </xf>
    <xf numFmtId="2" fontId="6" fillId="0" borderId="14" xfId="0" applyNumberFormat="1" applyFont="1" applyFill="1" applyBorder="1" applyAlignment="1">
      <alignment horizontal="center" vertical="center"/>
    </xf>
    <xf numFmtId="15" fontId="6" fillId="0" borderId="14" xfId="0" applyNumberFormat="1" applyFont="1" applyFill="1" applyBorder="1" applyAlignment="1">
      <alignment horizontal="left" vertical="center"/>
    </xf>
    <xf numFmtId="0" fontId="9" fillId="0" borderId="15" xfId="0" applyFont="1" applyBorder="1" applyAlignment="1" applyProtection="1">
      <alignment horizontal="center" vertical="center"/>
      <protection locked="0"/>
    </xf>
    <xf numFmtId="0" fontId="9" fillId="0" borderId="15" xfId="0" applyFont="1" applyBorder="1" applyAlignment="1" applyProtection="1">
      <alignment horizontal="left" vertical="center"/>
      <protection locked="0"/>
    </xf>
    <xf numFmtId="0" fontId="6" fillId="0" borderId="15" xfId="0" applyFont="1" applyBorder="1" applyAlignment="1">
      <alignment horizontal="center" vertical="center"/>
    </xf>
    <xf numFmtId="0" fontId="6" fillId="0" borderId="15" xfId="0" applyFont="1" applyFill="1" applyBorder="1" applyAlignment="1">
      <alignment vertical="center"/>
    </xf>
    <xf numFmtId="0" fontId="6" fillId="0" borderId="15" xfId="0" applyFont="1" applyFill="1" applyBorder="1" applyAlignment="1">
      <alignment horizontal="center" vertical="center"/>
    </xf>
    <xf numFmtId="15" fontId="6" fillId="0" borderId="15" xfId="0" applyNumberFormat="1" applyFont="1" applyFill="1" applyBorder="1" applyAlignment="1">
      <alignment vertical="center"/>
    </xf>
    <xf numFmtId="15" fontId="6" fillId="0" borderId="15" xfId="0" applyNumberFormat="1" applyFont="1" applyFill="1" applyBorder="1" applyAlignment="1">
      <alignment horizontal="center" vertical="center"/>
    </xf>
    <xf numFmtId="1" fontId="6" fillId="0" borderId="15" xfId="0" applyNumberFormat="1" applyFont="1" applyFill="1" applyBorder="1" applyAlignment="1">
      <alignment horizontal="center" vertical="center"/>
    </xf>
    <xf numFmtId="2" fontId="6" fillId="0" borderId="15" xfId="0" applyNumberFormat="1" applyFont="1" applyFill="1" applyBorder="1" applyAlignment="1">
      <alignment horizontal="left" vertical="center"/>
    </xf>
    <xf numFmtId="2" fontId="6" fillId="0" borderId="15" xfId="0" applyNumberFormat="1" applyFont="1" applyFill="1" applyBorder="1" applyAlignment="1">
      <alignment horizontal="center" vertical="center"/>
    </xf>
    <xf numFmtId="15" fontId="6" fillId="0" borderId="15" xfId="0" applyNumberFormat="1" applyFont="1" applyFill="1" applyBorder="1" applyAlignment="1">
      <alignment horizontal="left" vertical="center"/>
    </xf>
    <xf numFmtId="0" fontId="6" fillId="0" borderId="0" xfId="0" applyFont="1" applyBorder="1" applyAlignment="1">
      <alignment horizontal="center"/>
    </xf>
    <xf numFmtId="0" fontId="9" fillId="0" borderId="0" xfId="0" applyFont="1" applyBorder="1" applyAlignment="1" applyProtection="1">
      <alignment horizontal="center" vertical="center"/>
      <protection locked="0"/>
    </xf>
    <xf numFmtId="3" fontId="7" fillId="0" borderId="0" xfId="0" applyNumberFormat="1" applyFont="1" applyBorder="1" applyAlignment="1" applyProtection="1">
      <alignment vertical="center"/>
      <protection locked="0"/>
    </xf>
    <xf numFmtId="0" fontId="6" fillId="0" borderId="0" xfId="0" applyFont="1" applyBorder="1" applyAlignment="1">
      <alignment horizontal="left"/>
    </xf>
    <xf numFmtId="0" fontId="11" fillId="4" borderId="14" xfId="0" applyFont="1" applyFill="1" applyBorder="1" applyAlignment="1">
      <alignment horizontal="left" vertical="center"/>
    </xf>
    <xf numFmtId="2" fontId="12" fillId="0" borderId="14" xfId="6" applyNumberFormat="1" applyFont="1" applyFill="1" applyBorder="1" applyAlignment="1">
      <alignment horizontal="left" vertical="center"/>
    </xf>
    <xf numFmtId="0" fontId="6" fillId="0" borderId="14" xfId="0" applyFont="1" applyFill="1" applyBorder="1" applyAlignment="1">
      <alignment horizontal="left" vertical="center"/>
    </xf>
    <xf numFmtId="0" fontId="6" fillId="0" borderId="14" xfId="0" applyFont="1" applyBorder="1"/>
    <xf numFmtId="0" fontId="11" fillId="4" borderId="15" xfId="0" applyFont="1" applyFill="1" applyBorder="1" applyAlignment="1">
      <alignment horizontal="left" vertical="center"/>
    </xf>
    <xf numFmtId="2" fontId="12" fillId="0" borderId="15" xfId="6" applyNumberFormat="1" applyFont="1" applyFill="1" applyBorder="1" applyAlignment="1">
      <alignment horizontal="left" vertical="center"/>
    </xf>
    <xf numFmtId="0" fontId="6" fillId="0" borderId="15" xfId="0" applyFont="1" applyFill="1" applyBorder="1" applyAlignment="1">
      <alignment horizontal="left" vertical="center"/>
    </xf>
    <xf numFmtId="0" fontId="6" fillId="0" borderId="15" xfId="0" applyFont="1" applyBorder="1"/>
    <xf numFmtId="0" fontId="8" fillId="0" borderId="0" xfId="0" applyFont="1" applyBorder="1" applyAlignment="1">
      <alignment horizontal="left"/>
    </xf>
    <xf numFmtId="14" fontId="6" fillId="0" borderId="12" xfId="1" applyNumberFormat="1" applyFont="1" applyFill="1" applyBorder="1" applyAlignment="1">
      <alignment horizontal="right"/>
    </xf>
    <xf numFmtId="165" fontId="7" fillId="5" borderId="7" xfId="1" applyNumberFormat="1" applyFont="1" applyFill="1" applyBorder="1" applyAlignment="1" applyProtection="1">
      <alignment horizontal="center" vertical="center" wrapText="1"/>
    </xf>
    <xf numFmtId="165" fontId="7" fillId="5" borderId="2" xfId="1" applyNumberFormat="1" applyFont="1" applyFill="1" applyBorder="1" applyAlignment="1" applyProtection="1">
      <alignment horizontal="center" vertical="center" wrapText="1"/>
    </xf>
    <xf numFmtId="165" fontId="7" fillId="5" borderId="1" xfId="1" applyNumberFormat="1" applyFont="1" applyFill="1" applyBorder="1" applyAlignment="1" applyProtection="1">
      <alignment horizontal="center" vertical="center" wrapText="1"/>
    </xf>
    <xf numFmtId="3" fontId="3" fillId="3" borderId="1" xfId="0" applyNumberFormat="1" applyFont="1" applyFill="1" applyBorder="1" applyAlignment="1" applyProtection="1">
      <alignment horizontal="center" vertical="center" wrapText="1"/>
    </xf>
    <xf numFmtId="0" fontId="0" fillId="0" borderId="0" xfId="0" applyAlignment="1">
      <alignment horizontal="center"/>
    </xf>
    <xf numFmtId="0" fontId="3" fillId="3" borderId="0" xfId="0" applyFont="1" applyFill="1" applyBorder="1" applyAlignment="1" applyProtection="1">
      <alignment horizontal="center" vertical="center" wrapText="1"/>
    </xf>
    <xf numFmtId="0" fontId="0" fillId="0" borderId="0" xfId="0" applyAlignment="1">
      <alignment horizontal="center" vertical="center"/>
    </xf>
    <xf numFmtId="14" fontId="0" fillId="0" borderId="0" xfId="0" applyNumberFormat="1" applyAlignment="1">
      <alignment horizontal="center"/>
    </xf>
    <xf numFmtId="14" fontId="0" fillId="0" borderId="0" xfId="0" applyNumberFormat="1"/>
    <xf numFmtId="43" fontId="0" fillId="0" borderId="0" xfId="1" applyFont="1" applyAlignment="1">
      <alignment horizontal="center"/>
    </xf>
    <xf numFmtId="170" fontId="0" fillId="0" borderId="0" xfId="1" applyNumberFormat="1" applyFont="1" applyAlignment="1">
      <alignment horizontal="center"/>
    </xf>
    <xf numFmtId="43" fontId="0" fillId="0" borderId="0" xfId="0" applyNumberFormat="1"/>
    <xf numFmtId="0" fontId="13" fillId="0" borderId="0" xfId="0" applyFont="1"/>
    <xf numFmtId="0" fontId="0" fillId="0" borderId="0" xfId="0" applyFont="1"/>
    <xf numFmtId="170" fontId="0" fillId="0" borderId="0" xfId="1" applyNumberFormat="1" applyFont="1"/>
    <xf numFmtId="0" fontId="9" fillId="8" borderId="0" xfId="1" applyNumberFormat="1" applyFont="1" applyFill="1" applyBorder="1" applyAlignment="1" applyProtection="1">
      <alignment horizontal="center" vertical="center"/>
      <protection locked="0"/>
    </xf>
    <xf numFmtId="9" fontId="0" fillId="0" borderId="0" xfId="5" applyFont="1" applyAlignment="1">
      <alignment horizontal="center"/>
    </xf>
    <xf numFmtId="170" fontId="6" fillId="0" borderId="0" xfId="1" applyNumberFormat="1" applyFont="1"/>
    <xf numFmtId="170" fontId="3" fillId="3" borderId="0" xfId="1" applyNumberFormat="1" applyFont="1" applyFill="1" applyBorder="1" applyAlignment="1" applyProtection="1">
      <alignment horizontal="center" vertical="center" wrapText="1"/>
    </xf>
    <xf numFmtId="43" fontId="0" fillId="0" borderId="0" xfId="5" applyNumberFormat="1" applyFont="1" applyAlignment="1">
      <alignment horizontal="center"/>
    </xf>
    <xf numFmtId="170" fontId="0" fillId="8" borderId="0" xfId="1" applyNumberFormat="1" applyFont="1" applyFill="1"/>
    <xf numFmtId="169" fontId="6" fillId="0" borderId="12" xfId="1" applyNumberFormat="1" applyFont="1" applyFill="1" applyBorder="1"/>
    <xf numFmtId="165" fontId="7" fillId="5" borderId="1" xfId="1" applyNumberFormat="1" applyFont="1" applyFill="1" applyBorder="1" applyAlignment="1" applyProtection="1">
      <alignment horizontal="center" vertical="center" wrapText="1"/>
    </xf>
    <xf numFmtId="165" fontId="7" fillId="5" borderId="2" xfId="1" applyNumberFormat="1" applyFont="1" applyFill="1" applyBorder="1" applyAlignment="1" applyProtection="1">
      <alignment horizontal="center" vertical="center" wrapText="1"/>
    </xf>
    <xf numFmtId="14" fontId="7" fillId="5" borderId="1" xfId="1" applyNumberFormat="1" applyFont="1" applyFill="1" applyBorder="1" applyAlignment="1" applyProtection="1">
      <alignment horizontal="center" vertical="center" wrapText="1"/>
    </xf>
    <xf numFmtId="0" fontId="3" fillId="3" borderId="1" xfId="0" applyFont="1" applyFill="1" applyBorder="1" applyAlignment="1" applyProtection="1">
      <alignment horizontal="center" vertical="center" wrapText="1"/>
    </xf>
    <xf numFmtId="14" fontId="3" fillId="3" borderId="1" xfId="0" applyNumberFormat="1" applyFont="1" applyFill="1" applyBorder="1" applyAlignment="1" applyProtection="1">
      <alignment horizontal="center" vertical="center" wrapText="1"/>
    </xf>
    <xf numFmtId="3" fontId="3" fillId="3" borderId="1" xfId="0" applyNumberFormat="1" applyFont="1" applyFill="1" applyBorder="1" applyAlignment="1" applyProtection="1">
      <alignment horizontal="center" vertical="center" wrapText="1"/>
    </xf>
    <xf numFmtId="0" fontId="3" fillId="3" borderId="2" xfId="0" applyFont="1" applyFill="1" applyBorder="1" applyAlignment="1" applyProtection="1">
      <alignment horizontal="center" vertical="center" wrapText="1"/>
    </xf>
    <xf numFmtId="169" fontId="0" fillId="0" borderId="0" xfId="1" applyNumberFormat="1" applyFont="1" applyAlignment="1">
      <alignment horizontal="center"/>
    </xf>
    <xf numFmtId="3" fontId="3" fillId="9" borderId="1" xfId="0" applyNumberFormat="1" applyFont="1" applyFill="1" applyBorder="1" applyAlignment="1" applyProtection="1">
      <alignment horizontal="center" vertical="center" wrapText="1"/>
    </xf>
    <xf numFmtId="43" fontId="0" fillId="8" borderId="0" xfId="0" applyNumberFormat="1" applyFill="1"/>
    <xf numFmtId="3" fontId="14" fillId="10" borderId="1" xfId="2" applyNumberFormat="1" applyFont="1" applyFill="1" applyBorder="1" applyAlignment="1" applyProtection="1">
      <alignment horizontal="center" vertical="center" wrapText="1"/>
    </xf>
    <xf numFmtId="170" fontId="7" fillId="5" borderId="1" xfId="1" applyNumberFormat="1" applyFont="1" applyFill="1" applyBorder="1" applyAlignment="1" applyProtection="1">
      <alignment horizontal="center" vertical="center" wrapText="1"/>
    </xf>
    <xf numFmtId="0" fontId="0" fillId="0" borderId="0" xfId="0" applyAlignment="1">
      <alignment horizontal="left"/>
    </xf>
    <xf numFmtId="3" fontId="14" fillId="9" borderId="1" xfId="2" applyNumberFormat="1" applyFont="1" applyFill="1" applyBorder="1" applyAlignment="1" applyProtection="1">
      <alignment horizontal="center" vertical="center" wrapText="1"/>
    </xf>
    <xf numFmtId="0" fontId="3" fillId="3" borderId="3" xfId="0" applyFont="1" applyFill="1" applyBorder="1" applyAlignment="1" applyProtection="1">
      <alignment horizontal="center" vertical="center" wrapText="1"/>
    </xf>
    <xf numFmtId="170" fontId="7" fillId="5" borderId="3" xfId="1" applyNumberFormat="1" applyFont="1" applyFill="1" applyBorder="1" applyAlignment="1" applyProtection="1">
      <alignment horizontal="center" vertical="center" wrapText="1"/>
    </xf>
    <xf numFmtId="14" fontId="7" fillId="5" borderId="3" xfId="1" applyNumberFormat="1" applyFont="1" applyFill="1" applyBorder="1" applyAlignment="1" applyProtection="1">
      <alignment horizontal="center" vertical="center" wrapText="1"/>
    </xf>
    <xf numFmtId="168" fontId="14" fillId="10" borderId="1" xfId="5" applyNumberFormat="1" applyFont="1" applyFill="1" applyBorder="1" applyAlignment="1" applyProtection="1">
      <alignment horizontal="center" vertical="center" wrapText="1"/>
    </xf>
    <xf numFmtId="0" fontId="3" fillId="3" borderId="17" xfId="0" applyFont="1" applyFill="1" applyBorder="1" applyAlignment="1" applyProtection="1">
      <alignment horizontal="center" vertical="center" wrapText="1"/>
    </xf>
    <xf numFmtId="0" fontId="0" fillId="0" borderId="1" xfId="0" applyBorder="1"/>
    <xf numFmtId="170" fontId="3" fillId="3" borderId="2" xfId="1" applyNumberFormat="1" applyFont="1" applyFill="1" applyBorder="1" applyAlignment="1" applyProtection="1">
      <alignment horizontal="center" vertical="center" wrapText="1"/>
    </xf>
    <xf numFmtId="170" fontId="3" fillId="3" borderId="3" xfId="1" applyNumberFormat="1" applyFont="1" applyFill="1" applyBorder="1" applyAlignment="1" applyProtection="1">
      <alignment horizontal="center" vertical="center" wrapText="1"/>
    </xf>
    <xf numFmtId="3" fontId="3" fillId="11" borderId="1" xfId="0" applyNumberFormat="1" applyFont="1" applyFill="1" applyBorder="1" applyAlignment="1" applyProtection="1">
      <alignment horizontal="center" vertical="center" wrapText="1"/>
    </xf>
    <xf numFmtId="3" fontId="3" fillId="11" borderId="7" xfId="0" applyNumberFormat="1" applyFont="1" applyFill="1" applyBorder="1" applyAlignment="1" applyProtection="1">
      <alignment horizontal="center" vertical="center" wrapText="1"/>
    </xf>
    <xf numFmtId="170" fontId="3" fillId="3" borderId="17" xfId="1" applyNumberFormat="1" applyFont="1" applyFill="1" applyBorder="1" applyAlignment="1" applyProtection="1">
      <alignment horizontal="center" vertical="center" wrapText="1"/>
    </xf>
    <xf numFmtId="170" fontId="0" fillId="0" borderId="0" xfId="0" applyNumberFormat="1"/>
    <xf numFmtId="0" fontId="0" fillId="0" borderId="0" xfId="0" applyBorder="1"/>
    <xf numFmtId="0" fontId="13" fillId="0" borderId="0" xfId="0" applyFont="1" applyAlignment="1">
      <alignment horizontal="left"/>
    </xf>
    <xf numFmtId="3" fontId="3" fillId="13" borderId="1" xfId="0" applyNumberFormat="1" applyFont="1" applyFill="1" applyBorder="1" applyAlignment="1" applyProtection="1">
      <alignment horizontal="center" vertical="center" wrapText="1"/>
    </xf>
    <xf numFmtId="0" fontId="0" fillId="0" borderId="9" xfId="0" applyBorder="1" applyAlignment="1">
      <alignment horizontal="center"/>
    </xf>
    <xf numFmtId="0" fontId="0" fillId="0" borderId="9" xfId="0" applyBorder="1"/>
    <xf numFmtId="170" fontId="0" fillId="0" borderId="9" xfId="1" applyNumberFormat="1" applyFont="1" applyBorder="1"/>
    <xf numFmtId="170" fontId="0" fillId="8" borderId="9" xfId="1" applyNumberFormat="1" applyFont="1" applyFill="1" applyBorder="1"/>
    <xf numFmtId="43" fontId="0" fillId="0" borderId="9" xfId="1" applyFont="1" applyBorder="1"/>
    <xf numFmtId="43" fontId="0" fillId="8" borderId="9" xfId="0" applyNumberFormat="1" applyFill="1" applyBorder="1"/>
    <xf numFmtId="170" fontId="0" fillId="0" borderId="9" xfId="1" applyNumberFormat="1" applyFont="1" applyBorder="1" applyAlignment="1">
      <alignment horizontal="center"/>
    </xf>
    <xf numFmtId="170" fontId="0" fillId="0" borderId="1" xfId="1" applyNumberFormat="1" applyFont="1" applyBorder="1"/>
    <xf numFmtId="9" fontId="0" fillId="0" borderId="1" xfId="5" applyFont="1" applyBorder="1"/>
    <xf numFmtId="170" fontId="0" fillId="0" borderId="1" xfId="1" applyNumberFormat="1" applyFont="1" applyBorder="1" applyAlignment="1">
      <alignment horizontal="right"/>
    </xf>
    <xf numFmtId="168" fontId="0" fillId="0" borderId="1" xfId="5" applyNumberFormat="1" applyFont="1" applyBorder="1"/>
    <xf numFmtId="168" fontId="0" fillId="0" borderId="1" xfId="0" applyNumberFormat="1" applyBorder="1"/>
    <xf numFmtId="168" fontId="13" fillId="2" borderId="1" xfId="5" applyNumberFormat="1" applyFont="1" applyFill="1" applyBorder="1"/>
    <xf numFmtId="0" fontId="13" fillId="5" borderId="1" xfId="0" applyFont="1" applyFill="1" applyBorder="1" applyAlignment="1">
      <alignment horizontal="center" wrapText="1"/>
    </xf>
    <xf numFmtId="0" fontId="13" fillId="5" borderId="1" xfId="0" applyFont="1" applyFill="1" applyBorder="1" applyAlignment="1">
      <alignment horizontal="center" vertical="center"/>
    </xf>
    <xf numFmtId="170" fontId="0" fillId="0" borderId="1" xfId="0" applyNumberFormat="1" applyBorder="1"/>
    <xf numFmtId="170" fontId="0" fillId="8" borderId="0" xfId="0" applyNumberFormat="1" applyFill="1"/>
    <xf numFmtId="0" fontId="0" fillId="8" borderId="0" xfId="0" applyFill="1"/>
    <xf numFmtId="0" fontId="13" fillId="8" borderId="0" xfId="0" applyFont="1" applyFill="1"/>
    <xf numFmtId="0" fontId="13" fillId="8" borderId="0" xfId="0" applyFont="1" applyFill="1" applyAlignment="1">
      <alignment horizontal="center"/>
    </xf>
    <xf numFmtId="0" fontId="17" fillId="0" borderId="0" xfId="0" applyFont="1"/>
    <xf numFmtId="49" fontId="0" fillId="0" borderId="0" xfId="0" applyNumberFormat="1" applyFont="1"/>
    <xf numFmtId="0" fontId="0" fillId="0" borderId="0" xfId="0" applyFont="1" applyAlignment="1"/>
    <xf numFmtId="0" fontId="0" fillId="0" borderId="0" xfId="0" applyFont="1" applyAlignment="1">
      <alignment wrapText="1"/>
    </xf>
    <xf numFmtId="0" fontId="18" fillId="0" borderId="0" xfId="0" applyFont="1" applyAlignment="1">
      <alignment horizontal="left"/>
    </xf>
    <xf numFmtId="0" fontId="18" fillId="0" borderId="0" xfId="0" applyFont="1" applyAlignment="1">
      <alignment horizontal="centerContinuous"/>
    </xf>
    <xf numFmtId="49" fontId="19" fillId="0" borderId="0" xfId="0" applyNumberFormat="1" applyFont="1" applyAlignment="1">
      <alignment horizontal="centerContinuous"/>
    </xf>
    <xf numFmtId="0" fontId="19" fillId="0" borderId="0" xfId="0" applyFont="1" applyAlignment="1"/>
    <xf numFmtId="0" fontId="19" fillId="0" borderId="0" xfId="0" applyFont="1" applyAlignment="1">
      <alignment horizontal="centerContinuous"/>
    </xf>
    <xf numFmtId="0" fontId="19" fillId="0" borderId="0" xfId="0" applyFont="1" applyAlignment="1">
      <alignment horizontal="centerContinuous" wrapText="1"/>
    </xf>
    <xf numFmtId="0" fontId="0" fillId="0" borderId="0" xfId="0" applyFont="1" applyAlignment="1">
      <alignment horizontal="left"/>
    </xf>
    <xf numFmtId="49" fontId="0" fillId="0" borderId="0" xfId="0" applyNumberFormat="1" applyFont="1" applyFill="1" applyBorder="1"/>
    <xf numFmtId="14" fontId="17" fillId="0" borderId="0" xfId="0" applyNumberFormat="1" applyFont="1" applyFill="1" applyBorder="1" applyAlignment="1">
      <alignment horizontal="left"/>
    </xf>
    <xf numFmtId="14" fontId="17" fillId="0" borderId="0" xfId="0" applyNumberFormat="1" applyFont="1" applyFill="1" applyBorder="1" applyAlignment="1"/>
    <xf numFmtId="0" fontId="0" fillId="0" borderId="0" xfId="0" applyFont="1" applyFill="1" applyBorder="1"/>
    <xf numFmtId="0" fontId="0" fillId="0" borderId="0" xfId="0" applyFont="1" applyFill="1" applyBorder="1" applyAlignment="1">
      <alignment wrapText="1"/>
    </xf>
    <xf numFmtId="49" fontId="20" fillId="0" borderId="0" xfId="0" applyNumberFormat="1" applyFont="1" applyFill="1" applyBorder="1"/>
    <xf numFmtId="0" fontId="20" fillId="15" borderId="0" xfId="0" applyFont="1" applyFill="1"/>
    <xf numFmtId="0" fontId="20" fillId="15" borderId="0" xfId="0" applyFont="1" applyFill="1" applyBorder="1" applyAlignment="1">
      <alignment horizontal="center"/>
    </xf>
    <xf numFmtId="0" fontId="20" fillId="0" borderId="0" xfId="0" applyFont="1" applyFill="1" applyBorder="1" applyAlignment="1">
      <alignment wrapText="1"/>
    </xf>
    <xf numFmtId="0" fontId="21" fillId="0" borderId="0" xfId="0" applyFont="1" applyFill="1" applyBorder="1"/>
    <xf numFmtId="49" fontId="21" fillId="0" borderId="0" xfId="0" applyNumberFormat="1" applyFont="1" applyFill="1" applyBorder="1"/>
    <xf numFmtId="49" fontId="21" fillId="15" borderId="0" xfId="0" applyNumberFormat="1" applyFont="1" applyFill="1" applyBorder="1"/>
    <xf numFmtId="165" fontId="22" fillId="15" borderId="0" xfId="1" applyNumberFormat="1" applyFont="1" applyFill="1" applyBorder="1"/>
    <xf numFmtId="0" fontId="21" fillId="0" borderId="0" xfId="0" applyFont="1" applyFill="1" applyBorder="1" applyAlignment="1">
      <alignment wrapText="1"/>
    </xf>
    <xf numFmtId="0" fontId="23" fillId="0" borderId="0" xfId="0" applyFont="1" applyFill="1" applyBorder="1"/>
    <xf numFmtId="49" fontId="23" fillId="0" borderId="0" xfId="0" applyNumberFormat="1" applyFont="1" applyFill="1" applyBorder="1"/>
    <xf numFmtId="49" fontId="23" fillId="15" borderId="0" xfId="0" applyNumberFormat="1" applyFont="1" applyFill="1" applyBorder="1"/>
    <xf numFmtId="165" fontId="24" fillId="15" borderId="0" xfId="1" applyNumberFormat="1" applyFont="1" applyFill="1" applyBorder="1"/>
    <xf numFmtId="0" fontId="23" fillId="0" borderId="0" xfId="0" applyFont="1" applyFill="1" applyBorder="1" applyAlignment="1">
      <alignment wrapText="1"/>
    </xf>
    <xf numFmtId="0" fontId="0" fillId="0" borderId="0" xfId="0" applyFont="1" applyFill="1"/>
    <xf numFmtId="49" fontId="0" fillId="0" borderId="0" xfId="0" applyNumberFormat="1" applyFont="1" applyFill="1"/>
    <xf numFmtId="49" fontId="21" fillId="12" borderId="1" xfId="0" applyNumberFormat="1" applyFont="1" applyFill="1" applyBorder="1" applyAlignment="1">
      <alignment horizontal="center" vertical="center" wrapText="1"/>
    </xf>
    <xf numFmtId="0" fontId="21" fillId="12" borderId="1" xfId="0" applyFont="1" applyFill="1" applyBorder="1" applyAlignment="1">
      <alignment vertical="center" wrapText="1"/>
    </xf>
    <xf numFmtId="0" fontId="21" fillId="12" borderId="1" xfId="0" applyFont="1" applyFill="1" applyBorder="1" applyAlignment="1">
      <alignment horizontal="center" vertical="center" wrapText="1"/>
    </xf>
    <xf numFmtId="49" fontId="21" fillId="0" borderId="1" xfId="0" applyNumberFormat="1" applyFont="1" applyBorder="1" applyAlignment="1">
      <alignment horizontal="center"/>
    </xf>
    <xf numFmtId="171" fontId="21" fillId="0" borderId="1" xfId="1" applyNumberFormat="1" applyFont="1" applyBorder="1" applyAlignment="1">
      <alignment wrapText="1"/>
    </xf>
    <xf numFmtId="0" fontId="21" fillId="0" borderId="1" xfId="0" applyFont="1" applyBorder="1" applyAlignment="1">
      <alignment horizontal="center" wrapText="1"/>
    </xf>
    <xf numFmtId="0" fontId="21" fillId="0" borderId="1" xfId="0" applyNumberFormat="1" applyFont="1" applyBorder="1" applyAlignment="1">
      <alignment horizontal="center"/>
    </xf>
    <xf numFmtId="0" fontId="21" fillId="0" borderId="0" xfId="0" applyFont="1" applyAlignment="1">
      <alignment horizontal="center"/>
    </xf>
    <xf numFmtId="0" fontId="21" fillId="0" borderId="0" xfId="0" applyFont="1" applyAlignment="1"/>
    <xf numFmtId="0" fontId="21" fillId="0" borderId="0" xfId="0" applyFont="1" applyBorder="1"/>
    <xf numFmtId="0" fontId="21" fillId="0" borderId="0" xfId="0" applyFont="1"/>
    <xf numFmtId="49" fontId="21" fillId="0" borderId="0" xfId="0" applyNumberFormat="1" applyFont="1"/>
    <xf numFmtId="0" fontId="21" fillId="0" borderId="0" xfId="0" applyFont="1" applyAlignment="1">
      <alignment wrapText="1"/>
    </xf>
    <xf numFmtId="0" fontId="23" fillId="0" borderId="0" xfId="0" applyFont="1"/>
    <xf numFmtId="49" fontId="23" fillId="0" borderId="0" xfId="0" applyNumberFormat="1" applyFont="1" applyAlignment="1">
      <alignment horizontal="center"/>
    </xf>
    <xf numFmtId="0" fontId="23" fillId="0" borderId="0" xfId="0" applyFont="1" applyAlignment="1"/>
    <xf numFmtId="0" fontId="23" fillId="0" borderId="0" xfId="0" applyFont="1" applyFill="1" applyBorder="1" applyAlignment="1">
      <alignment horizontal="center"/>
    </xf>
    <xf numFmtId="0" fontId="23" fillId="0" borderId="0" xfId="0" applyFont="1" applyAlignment="1">
      <alignment horizontal="center" wrapText="1"/>
    </xf>
    <xf numFmtId="49" fontId="21" fillId="0" borderId="0" xfId="0" applyNumberFormat="1" applyFont="1" applyAlignment="1">
      <alignment horizontal="center"/>
    </xf>
    <xf numFmtId="0" fontId="21" fillId="0" borderId="0" xfId="0" applyFont="1" applyAlignment="1">
      <alignment horizontal="center" wrapText="1"/>
    </xf>
    <xf numFmtId="14" fontId="0" fillId="0" borderId="0" xfId="0" applyNumberFormat="1" applyFont="1" applyBorder="1" applyAlignment="1"/>
    <xf numFmtId="0" fontId="21" fillId="0" borderId="1" xfId="0" applyNumberFormat="1" applyFont="1" applyBorder="1" applyAlignment="1">
      <alignment horizontal="center" vertical="center"/>
    </xf>
    <xf numFmtId="0" fontId="21" fillId="0" borderId="1" xfId="0" applyNumberFormat="1" applyFont="1" applyBorder="1" applyAlignment="1">
      <alignment horizontal="left" vertical="center"/>
    </xf>
    <xf numFmtId="0" fontId="25" fillId="0" borderId="0" xfId="0" applyFont="1" applyAlignment="1">
      <alignment vertical="center"/>
    </xf>
    <xf numFmtId="0" fontId="26" fillId="0" borderId="22" xfId="0" applyFont="1" applyBorder="1" applyAlignment="1">
      <alignment vertical="center" wrapText="1"/>
    </xf>
    <xf numFmtId="0" fontId="26" fillId="0" borderId="23" xfId="0" applyFont="1" applyBorder="1" applyAlignment="1">
      <alignment vertical="center" wrapText="1"/>
    </xf>
    <xf numFmtId="0" fontId="26" fillId="16" borderId="18" xfId="0" applyFont="1" applyFill="1" applyBorder="1" applyAlignment="1">
      <alignment vertical="center" wrapText="1"/>
    </xf>
    <xf numFmtId="170" fontId="26" fillId="0" borderId="18" xfId="1" applyNumberFormat="1" applyFont="1" applyBorder="1" applyAlignment="1">
      <alignment vertical="center" wrapText="1"/>
    </xf>
    <xf numFmtId="170" fontId="26" fillId="16" borderId="18" xfId="1" applyNumberFormat="1" applyFont="1" applyFill="1" applyBorder="1" applyAlignment="1">
      <alignment vertical="center" wrapText="1"/>
    </xf>
    <xf numFmtId="0" fontId="26" fillId="0" borderId="0" xfId="0" applyFont="1" applyAlignment="1">
      <alignment vertical="center"/>
    </xf>
    <xf numFmtId="0" fontId="26" fillId="0" borderId="0" xfId="0" applyFont="1"/>
    <xf numFmtId="0" fontId="27" fillId="8" borderId="1" xfId="0" applyFont="1" applyFill="1" applyBorder="1" applyAlignment="1">
      <alignment horizontal="center"/>
    </xf>
    <xf numFmtId="0" fontId="28" fillId="16" borderId="18" xfId="0" applyFont="1" applyFill="1" applyBorder="1" applyAlignment="1">
      <alignment horizontal="center" vertical="center" wrapText="1"/>
    </xf>
    <xf numFmtId="0" fontId="28" fillId="16" borderId="18" xfId="0" applyFont="1" applyFill="1" applyBorder="1" applyAlignment="1">
      <alignment vertical="center" wrapText="1"/>
    </xf>
    <xf numFmtId="0" fontId="29" fillId="0" borderId="18" xfId="0" applyFont="1" applyBorder="1" applyAlignment="1">
      <alignment vertical="center" wrapText="1"/>
    </xf>
    <xf numFmtId="0" fontId="29" fillId="0" borderId="18" xfId="0" applyFont="1" applyBorder="1" applyAlignment="1">
      <alignment horizontal="right" vertical="center" wrapText="1"/>
    </xf>
    <xf numFmtId="43" fontId="29" fillId="0" borderId="18" xfId="1" applyFont="1" applyBorder="1" applyAlignment="1">
      <alignment horizontal="right" vertical="center" wrapText="1"/>
    </xf>
    <xf numFmtId="2" fontId="29" fillId="0" borderId="18" xfId="0" applyNumberFormat="1" applyFont="1" applyBorder="1" applyAlignment="1">
      <alignment horizontal="right" vertical="center" wrapText="1"/>
    </xf>
    <xf numFmtId="0" fontId="29" fillId="16" borderId="18" xfId="0" applyFont="1" applyFill="1" applyBorder="1" applyAlignment="1">
      <alignment vertical="center" wrapText="1"/>
    </xf>
    <xf numFmtId="170" fontId="29" fillId="16" borderId="18" xfId="1" applyNumberFormat="1" applyFont="1" applyFill="1" applyBorder="1" applyAlignment="1">
      <alignment horizontal="right" vertical="center" wrapText="1"/>
    </xf>
    <xf numFmtId="170" fontId="29" fillId="0" borderId="18" xfId="1" applyNumberFormat="1" applyFont="1" applyBorder="1" applyAlignment="1">
      <alignment horizontal="right" vertical="center" wrapText="1"/>
    </xf>
    <xf numFmtId="170" fontId="29" fillId="0" borderId="18" xfId="1" applyNumberFormat="1" applyFont="1" applyBorder="1" applyAlignment="1">
      <alignment vertical="center" wrapText="1"/>
    </xf>
    <xf numFmtId="170" fontId="28" fillId="16" borderId="18" xfId="1" applyNumberFormat="1" applyFont="1" applyFill="1" applyBorder="1" applyAlignment="1">
      <alignment horizontal="right" vertical="center" wrapText="1"/>
    </xf>
    <xf numFmtId="0" fontId="30" fillId="0" borderId="0" xfId="6" applyFont="1" applyAlignment="1">
      <alignment vertical="center"/>
    </xf>
    <xf numFmtId="3" fontId="3" fillId="3" borderId="1" xfId="0" applyNumberFormat="1" applyFont="1" applyFill="1" applyBorder="1" applyAlignment="1" applyProtection="1">
      <alignment horizontal="center" vertical="center" wrapText="1"/>
    </xf>
    <xf numFmtId="0" fontId="27" fillId="0" borderId="0" xfId="0" applyFont="1"/>
    <xf numFmtId="170" fontId="26" fillId="0" borderId="0" xfId="1" applyNumberFormat="1" applyFont="1"/>
    <xf numFmtId="0" fontId="26" fillId="0" borderId="0" xfId="0" applyFont="1" applyAlignment="1">
      <alignment horizontal="center"/>
    </xf>
    <xf numFmtId="0" fontId="27" fillId="5" borderId="0" xfId="0" applyFont="1" applyFill="1" applyAlignment="1">
      <alignment horizontal="center"/>
    </xf>
    <xf numFmtId="0" fontId="27" fillId="5" borderId="0" xfId="0" applyFont="1" applyFill="1"/>
    <xf numFmtId="170" fontId="27" fillId="5" borderId="0" xfId="1" applyNumberFormat="1" applyFont="1" applyFill="1"/>
    <xf numFmtId="170" fontId="27" fillId="5" borderId="0" xfId="1" applyNumberFormat="1" applyFont="1" applyFill="1" applyAlignment="1">
      <alignment horizontal="center"/>
    </xf>
    <xf numFmtId="170" fontId="27" fillId="0" borderId="0" xfId="1" applyNumberFormat="1" applyFont="1"/>
    <xf numFmtId="0" fontId="26" fillId="16" borderId="0" xfId="0" applyFont="1" applyFill="1" applyAlignment="1">
      <alignment horizontal="center" wrapText="1"/>
    </xf>
    <xf numFmtId="170" fontId="26" fillId="16" borderId="0" xfId="1" applyNumberFormat="1" applyFont="1" applyFill="1" applyAlignment="1">
      <alignment horizontal="center" wrapText="1"/>
    </xf>
    <xf numFmtId="0" fontId="26" fillId="0" borderId="0" xfId="0" applyFont="1" applyAlignment="1">
      <alignment wrapText="1"/>
    </xf>
    <xf numFmtId="0" fontId="31" fillId="0" borderId="0" xfId="0" applyFont="1"/>
    <xf numFmtId="9" fontId="26" fillId="0" borderId="0" xfId="5" applyFont="1"/>
    <xf numFmtId="0" fontId="27" fillId="16" borderId="0" xfId="0" applyFont="1" applyFill="1" applyAlignment="1">
      <alignment wrapText="1"/>
    </xf>
    <xf numFmtId="0" fontId="26" fillId="16" borderId="0" xfId="0" applyFont="1" applyFill="1" applyAlignment="1">
      <alignment wrapText="1"/>
    </xf>
    <xf numFmtId="0" fontId="26" fillId="0" borderId="0" xfId="0" applyFont="1" applyAlignment="1">
      <alignment horizontal="center" wrapText="1"/>
    </xf>
    <xf numFmtId="0" fontId="26" fillId="0" borderId="1" xfId="0" applyFont="1" applyBorder="1"/>
    <xf numFmtId="0" fontId="26" fillId="0" borderId="1" xfId="0" applyFont="1" applyBorder="1" applyAlignment="1">
      <alignment wrapText="1"/>
    </xf>
    <xf numFmtId="0" fontId="26" fillId="17" borderId="1" xfId="0" applyFont="1" applyFill="1" applyBorder="1" applyAlignment="1">
      <alignment horizontal="center"/>
    </xf>
    <xf numFmtId="0" fontId="26" fillId="17" borderId="1" xfId="0" applyFont="1" applyFill="1" applyBorder="1" applyAlignment="1">
      <alignment horizontal="center" wrapText="1"/>
    </xf>
    <xf numFmtId="165" fontId="7" fillId="5" borderId="1" xfId="1" applyNumberFormat="1" applyFont="1" applyFill="1" applyBorder="1" applyAlignment="1" applyProtection="1">
      <alignment horizontal="center" vertical="center" wrapText="1"/>
    </xf>
    <xf numFmtId="14" fontId="7" fillId="5" borderId="1" xfId="1" applyNumberFormat="1" applyFont="1" applyFill="1" applyBorder="1" applyAlignment="1" applyProtection="1">
      <alignment horizontal="center" vertical="center" wrapText="1"/>
    </xf>
    <xf numFmtId="0" fontId="3" fillId="3" borderId="1" xfId="0" applyFont="1" applyFill="1" applyBorder="1" applyAlignment="1" applyProtection="1">
      <alignment horizontal="center" vertical="center" wrapText="1"/>
    </xf>
    <xf numFmtId="3" fontId="3" fillId="3" borderId="2" xfId="0" applyNumberFormat="1" applyFont="1" applyFill="1" applyBorder="1" applyAlignment="1" applyProtection="1">
      <alignment horizontal="center" vertical="center"/>
    </xf>
    <xf numFmtId="3" fontId="3" fillId="3" borderId="1" xfId="0" applyNumberFormat="1" applyFont="1" applyFill="1" applyBorder="1" applyAlignment="1" applyProtection="1">
      <alignment horizontal="center" vertical="center" wrapText="1"/>
    </xf>
    <xf numFmtId="3" fontId="3" fillId="9" borderId="1" xfId="0" applyNumberFormat="1" applyFont="1" applyFill="1" applyBorder="1" applyAlignment="1" applyProtection="1">
      <alignment horizontal="center" vertical="center" wrapText="1"/>
    </xf>
    <xf numFmtId="3" fontId="3" fillId="18" borderId="1" xfId="0" applyNumberFormat="1" applyFont="1" applyFill="1" applyBorder="1" applyAlignment="1" applyProtection="1">
      <alignment horizontal="center" vertical="center" wrapText="1"/>
    </xf>
    <xf numFmtId="170" fontId="0" fillId="18" borderId="9" xfId="1" applyNumberFormat="1" applyFont="1" applyFill="1" applyBorder="1"/>
    <xf numFmtId="43" fontId="0" fillId="0" borderId="0" xfId="1" applyFont="1"/>
    <xf numFmtId="43" fontId="3" fillId="18" borderId="1" xfId="1" applyFont="1" applyFill="1" applyBorder="1" applyAlignment="1" applyProtection="1">
      <alignment horizontal="center" vertical="center" wrapText="1"/>
    </xf>
    <xf numFmtId="43" fontId="3" fillId="18" borderId="0" xfId="1" applyFont="1" applyFill="1" applyBorder="1" applyAlignment="1" applyProtection="1">
      <alignment horizontal="center" vertical="center" wrapText="1"/>
    </xf>
    <xf numFmtId="43" fontId="0" fillId="18" borderId="9" xfId="1" applyFont="1" applyFill="1" applyBorder="1"/>
    <xf numFmtId="165" fontId="7" fillId="5" borderId="0" xfId="1" applyNumberFormat="1" applyFont="1" applyFill="1" applyBorder="1" applyAlignment="1" applyProtection="1">
      <alignment horizontal="center" vertical="center" wrapText="1"/>
    </xf>
    <xf numFmtId="14" fontId="7" fillId="5" borderId="0" xfId="1" applyNumberFormat="1" applyFont="1" applyFill="1" applyBorder="1" applyAlignment="1" applyProtection="1">
      <alignment horizontal="center" vertical="center" wrapText="1"/>
    </xf>
    <xf numFmtId="0" fontId="8" fillId="5" borderId="0" xfId="1" applyNumberFormat="1" applyFont="1" applyFill="1" applyBorder="1" applyAlignment="1" applyProtection="1">
      <alignment horizontal="center" vertical="center" wrapText="1"/>
    </xf>
    <xf numFmtId="9" fontId="7" fillId="5" borderId="0" xfId="5" applyFont="1" applyFill="1" applyBorder="1" applyAlignment="1" applyProtection="1">
      <alignment horizontal="center" vertical="center" wrapText="1"/>
    </xf>
    <xf numFmtId="170" fontId="3" fillId="18" borderId="0" xfId="1" applyNumberFormat="1" applyFont="1" applyFill="1" applyBorder="1" applyAlignment="1" applyProtection="1">
      <alignment horizontal="center" vertical="center" wrapText="1"/>
    </xf>
    <xf numFmtId="3" fontId="3" fillId="3" borderId="0" xfId="0" applyNumberFormat="1" applyFont="1" applyFill="1" applyBorder="1" applyAlignment="1" applyProtection="1">
      <alignment horizontal="center" vertical="center" wrapText="1"/>
    </xf>
    <xf numFmtId="3" fontId="3" fillId="18" borderId="0" xfId="0" applyNumberFormat="1" applyFont="1" applyFill="1" applyBorder="1" applyAlignment="1" applyProtection="1">
      <alignment horizontal="center" vertical="center" wrapText="1"/>
    </xf>
    <xf numFmtId="164" fontId="3" fillId="3" borderId="0" xfId="1" applyNumberFormat="1" applyFont="1" applyFill="1" applyBorder="1" applyAlignment="1" applyProtection="1">
      <alignment vertical="center" wrapText="1"/>
    </xf>
    <xf numFmtId="3" fontId="3" fillId="9" borderId="0" xfId="0" applyNumberFormat="1" applyFont="1" applyFill="1" applyBorder="1" applyAlignment="1" applyProtection="1">
      <alignment horizontal="center" vertical="center" wrapText="1"/>
    </xf>
    <xf numFmtId="3" fontId="3" fillId="13" borderId="0" xfId="0" applyNumberFormat="1" applyFont="1" applyFill="1" applyBorder="1" applyAlignment="1" applyProtection="1">
      <alignment horizontal="center" vertical="center" wrapText="1"/>
    </xf>
    <xf numFmtId="3" fontId="3" fillId="3" borderId="0" xfId="1" applyNumberFormat="1" applyFont="1" applyFill="1" applyBorder="1" applyAlignment="1" applyProtection="1">
      <alignment horizontal="center" vertical="center" wrapText="1"/>
    </xf>
    <xf numFmtId="14" fontId="3" fillId="3" borderId="0" xfId="0" applyNumberFormat="1" applyFont="1" applyFill="1" applyBorder="1" applyAlignment="1" applyProtection="1">
      <alignment horizontal="center" vertical="center" wrapText="1"/>
    </xf>
    <xf numFmtId="170" fontId="7" fillId="18" borderId="1" xfId="1" applyNumberFormat="1" applyFont="1" applyFill="1" applyBorder="1" applyAlignment="1" applyProtection="1">
      <alignment horizontal="center" vertical="center" wrapText="1"/>
    </xf>
    <xf numFmtId="14" fontId="7" fillId="18" borderId="1" xfId="1" applyNumberFormat="1" applyFont="1" applyFill="1" applyBorder="1" applyAlignment="1" applyProtection="1">
      <alignment horizontal="center" vertical="center" wrapText="1"/>
    </xf>
    <xf numFmtId="3" fontId="14" fillId="18" borderId="1" xfId="2" applyNumberFormat="1" applyFont="1" applyFill="1" applyBorder="1" applyAlignment="1" applyProtection="1">
      <alignment horizontal="center" vertical="center" wrapText="1"/>
    </xf>
    <xf numFmtId="170" fontId="7" fillId="18" borderId="3" xfId="1" applyNumberFormat="1" applyFont="1" applyFill="1" applyBorder="1" applyAlignment="1" applyProtection="1">
      <alignment horizontal="center" vertical="center" wrapText="1"/>
    </xf>
    <xf numFmtId="14" fontId="7" fillId="18" borderId="3" xfId="1" applyNumberFormat="1" applyFont="1" applyFill="1" applyBorder="1" applyAlignment="1" applyProtection="1">
      <alignment horizontal="center" vertical="center" wrapText="1"/>
    </xf>
    <xf numFmtId="168" fontId="14" fillId="18" borderId="1" xfId="5" applyNumberFormat="1" applyFont="1" applyFill="1" applyBorder="1" applyAlignment="1" applyProtection="1">
      <alignment horizontal="center" vertical="center" wrapText="1"/>
    </xf>
    <xf numFmtId="0" fontId="3" fillId="18" borderId="1" xfId="0" applyFont="1" applyFill="1" applyBorder="1" applyAlignment="1" applyProtection="1">
      <alignment horizontal="center" vertical="center" wrapText="1"/>
    </xf>
    <xf numFmtId="170" fontId="3" fillId="18" borderId="2" xfId="1" applyNumberFormat="1" applyFont="1" applyFill="1" applyBorder="1" applyAlignment="1" applyProtection="1">
      <alignment horizontal="center" vertical="center" wrapText="1"/>
    </xf>
    <xf numFmtId="0" fontId="3" fillId="18" borderId="2" xfId="0" applyFont="1" applyFill="1" applyBorder="1" applyAlignment="1" applyProtection="1">
      <alignment horizontal="center" vertical="center" wrapText="1"/>
    </xf>
    <xf numFmtId="170" fontId="3" fillId="18" borderId="17" xfId="1" applyNumberFormat="1" applyFont="1" applyFill="1" applyBorder="1" applyAlignment="1" applyProtection="1">
      <alignment horizontal="center" vertical="center" wrapText="1"/>
    </xf>
    <xf numFmtId="0" fontId="3" fillId="18" borderId="3" xfId="0" applyFont="1" applyFill="1" applyBorder="1" applyAlignment="1" applyProtection="1">
      <alignment horizontal="center" vertical="center" wrapText="1"/>
    </xf>
    <xf numFmtId="170" fontId="3" fillId="18" borderId="3" xfId="1" applyNumberFormat="1" applyFont="1" applyFill="1" applyBorder="1" applyAlignment="1" applyProtection="1">
      <alignment horizontal="center" vertical="center" wrapText="1"/>
    </xf>
    <xf numFmtId="0" fontId="3" fillId="18" borderId="17" xfId="0" applyFont="1" applyFill="1" applyBorder="1" applyAlignment="1" applyProtection="1">
      <alignment horizontal="center" vertical="center" wrapText="1"/>
    </xf>
    <xf numFmtId="0" fontId="13" fillId="0" borderId="0" xfId="0" applyFont="1" applyAlignment="1">
      <alignment horizontal="center"/>
    </xf>
    <xf numFmtId="9" fontId="7" fillId="5" borderId="1" xfId="5" applyFont="1" applyFill="1" applyBorder="1" applyAlignment="1" applyProtection="1">
      <alignment horizontal="center" vertical="center" wrapText="1"/>
    </xf>
    <xf numFmtId="0" fontId="26" fillId="2" borderId="1" xfId="0" applyFont="1" applyFill="1" applyBorder="1"/>
    <xf numFmtId="0" fontId="26" fillId="2" borderId="1" xfId="0" applyFont="1" applyFill="1" applyBorder="1" applyAlignment="1">
      <alignment wrapText="1"/>
    </xf>
    <xf numFmtId="14" fontId="0" fillId="0" borderId="9" xfId="0" applyNumberFormat="1" applyBorder="1" applyAlignment="1">
      <alignment horizontal="center"/>
    </xf>
    <xf numFmtId="43" fontId="0" fillId="0" borderId="9" xfId="1" applyFont="1" applyBorder="1" applyAlignment="1">
      <alignment horizontal="center"/>
    </xf>
    <xf numFmtId="9" fontId="0" fillId="0" borderId="9" xfId="5" applyFont="1" applyBorder="1" applyAlignment="1">
      <alignment horizontal="center"/>
    </xf>
    <xf numFmtId="170" fontId="0" fillId="18" borderId="9" xfId="1" applyNumberFormat="1" applyFont="1" applyFill="1" applyBorder="1" applyAlignment="1">
      <alignment horizontal="center"/>
    </xf>
    <xf numFmtId="9" fontId="0" fillId="18" borderId="9" xfId="5" applyFont="1" applyFill="1" applyBorder="1" applyAlignment="1">
      <alignment horizontal="center"/>
    </xf>
    <xf numFmtId="43" fontId="0" fillId="18" borderId="9" xfId="5" applyNumberFormat="1" applyFont="1" applyFill="1" applyBorder="1" applyAlignment="1">
      <alignment horizontal="center"/>
    </xf>
    <xf numFmtId="43" fontId="0" fillId="18" borderId="9" xfId="0" applyNumberFormat="1" applyFill="1" applyBorder="1"/>
    <xf numFmtId="0" fontId="0" fillId="18" borderId="9" xfId="0" applyFill="1" applyBorder="1"/>
    <xf numFmtId="170" fontId="0" fillId="18" borderId="9" xfId="0" applyNumberFormat="1" applyFill="1" applyBorder="1"/>
    <xf numFmtId="14" fontId="0" fillId="18" borderId="9" xfId="0" applyNumberFormat="1" applyFill="1" applyBorder="1" applyAlignment="1">
      <alignment horizontal="center"/>
    </xf>
    <xf numFmtId="0" fontId="0" fillId="18" borderId="9" xfId="0" applyFill="1" applyBorder="1" applyAlignment="1">
      <alignment horizontal="left"/>
    </xf>
    <xf numFmtId="0" fontId="7" fillId="5" borderId="11" xfId="0" applyNumberFormat="1" applyFont="1" applyFill="1" applyBorder="1" applyAlignment="1" applyProtection="1">
      <alignment horizontal="center" vertical="center" wrapText="1"/>
    </xf>
    <xf numFmtId="0" fontId="7" fillId="5" borderId="14" xfId="0" applyNumberFormat="1" applyFont="1" applyFill="1" applyBorder="1" applyAlignment="1" applyProtection="1">
      <alignment horizontal="center" vertical="center" wrapText="1"/>
    </xf>
    <xf numFmtId="0" fontId="7" fillId="2" borderId="5" xfId="4" applyFont="1" applyFill="1" applyBorder="1" applyAlignment="1" applyProtection="1">
      <alignment horizontal="center" vertical="center"/>
    </xf>
    <xf numFmtId="0" fontId="7" fillId="2" borderId="0" xfId="4" applyFont="1" applyFill="1" applyBorder="1" applyAlignment="1" applyProtection="1">
      <alignment horizontal="center" vertical="center"/>
    </xf>
    <xf numFmtId="0" fontId="8" fillId="5" borderId="11" xfId="2" applyFont="1" applyFill="1" applyBorder="1" applyAlignment="1" applyProtection="1">
      <alignment horizontal="center" vertical="center" wrapText="1"/>
    </xf>
    <xf numFmtId="0" fontId="7" fillId="5" borderId="11" xfId="3" applyFont="1" applyFill="1" applyBorder="1" applyAlignment="1" applyProtection="1">
      <alignment horizontal="center" vertical="center"/>
    </xf>
    <xf numFmtId="0" fontId="7" fillId="5" borderId="11" xfId="4" applyFont="1" applyFill="1" applyBorder="1" applyAlignment="1" applyProtection="1">
      <alignment horizontal="center" vertical="center"/>
    </xf>
    <xf numFmtId="0" fontId="7" fillId="5" borderId="6" xfId="0" applyNumberFormat="1" applyFont="1" applyFill="1" applyBorder="1" applyAlignment="1" applyProtection="1">
      <alignment horizontal="center" vertical="center" wrapText="1"/>
    </xf>
    <xf numFmtId="0" fontId="7" fillId="5" borderId="13" xfId="0" applyNumberFormat="1" applyFont="1" applyFill="1" applyBorder="1" applyAlignment="1" applyProtection="1">
      <alignment horizontal="center" vertical="center" wrapText="1"/>
    </xf>
    <xf numFmtId="0" fontId="7" fillId="5" borderId="7" xfId="0" applyNumberFormat="1" applyFont="1" applyFill="1" applyBorder="1" applyAlignment="1" applyProtection="1">
      <alignment horizontal="center" vertical="center" wrapText="1"/>
    </xf>
    <xf numFmtId="9" fontId="7" fillId="5" borderId="6" xfId="5" applyFont="1" applyFill="1" applyBorder="1" applyAlignment="1" applyProtection="1">
      <alignment horizontal="center" vertical="center" wrapText="1"/>
    </xf>
    <xf numFmtId="9" fontId="7" fillId="5" borderId="7" xfId="5" applyFont="1" applyFill="1" applyBorder="1" applyAlignment="1" applyProtection="1">
      <alignment horizontal="center" vertical="center" wrapText="1"/>
    </xf>
    <xf numFmtId="165" fontId="7" fillId="5" borderId="6" xfId="1" applyNumberFormat="1" applyFont="1" applyFill="1" applyBorder="1" applyAlignment="1" applyProtection="1">
      <alignment horizontal="center" vertical="center" wrapText="1"/>
    </xf>
    <xf numFmtId="165" fontId="7" fillId="5" borderId="7" xfId="1" applyNumberFormat="1" applyFont="1" applyFill="1" applyBorder="1" applyAlignment="1" applyProtection="1">
      <alignment horizontal="center" vertical="center" wrapText="1"/>
    </xf>
    <xf numFmtId="165" fontId="7" fillId="5" borderId="16" xfId="1" applyNumberFormat="1" applyFont="1" applyFill="1" applyBorder="1" applyAlignment="1" applyProtection="1">
      <alignment horizontal="center" vertical="center" wrapText="1"/>
    </xf>
    <xf numFmtId="165" fontId="7" fillId="5" borderId="8" xfId="1" applyNumberFormat="1" applyFont="1" applyFill="1" applyBorder="1" applyAlignment="1" applyProtection="1">
      <alignment horizontal="center" vertical="center" wrapText="1"/>
    </xf>
    <xf numFmtId="165" fontId="7" fillId="5" borderId="13" xfId="1" applyNumberFormat="1" applyFont="1" applyFill="1" applyBorder="1" applyAlignment="1" applyProtection="1">
      <alignment horizontal="center" vertical="center" wrapText="1"/>
    </xf>
    <xf numFmtId="165" fontId="7" fillId="5" borderId="2" xfId="1" applyNumberFormat="1" applyFont="1" applyFill="1" applyBorder="1" applyAlignment="1" applyProtection="1">
      <alignment horizontal="center" vertical="center" wrapText="1"/>
    </xf>
    <xf numFmtId="165" fontId="7" fillId="5" borderId="3" xfId="1" applyNumberFormat="1" applyFont="1" applyFill="1" applyBorder="1" applyAlignment="1" applyProtection="1">
      <alignment horizontal="center" vertical="center" wrapText="1"/>
    </xf>
    <xf numFmtId="165" fontId="7" fillId="5" borderId="4" xfId="1" applyNumberFormat="1" applyFont="1" applyFill="1" applyBorder="1" applyAlignment="1" applyProtection="1">
      <alignment horizontal="center" vertical="center" wrapText="1"/>
    </xf>
    <xf numFmtId="165" fontId="7" fillId="5" borderId="1" xfId="1" applyNumberFormat="1" applyFont="1" applyFill="1" applyBorder="1" applyAlignment="1" applyProtection="1">
      <alignment horizontal="center" vertical="center" wrapText="1"/>
    </xf>
    <xf numFmtId="165" fontId="8" fillId="5" borderId="1" xfId="1" applyNumberFormat="1" applyFont="1" applyFill="1" applyBorder="1" applyAlignment="1" applyProtection="1">
      <alignment horizontal="center" vertical="center" wrapText="1"/>
    </xf>
    <xf numFmtId="0" fontId="8" fillId="5" borderId="6" xfId="1" applyNumberFormat="1" applyFont="1" applyFill="1" applyBorder="1" applyAlignment="1" applyProtection="1">
      <alignment horizontal="center" vertical="center" wrapText="1"/>
    </xf>
    <xf numFmtId="0" fontId="8" fillId="5" borderId="7" xfId="1" applyNumberFormat="1" applyFont="1" applyFill="1" applyBorder="1" applyAlignment="1" applyProtection="1">
      <alignment horizontal="center" vertical="center" wrapText="1"/>
    </xf>
    <xf numFmtId="165" fontId="7" fillId="0" borderId="6" xfId="1" applyNumberFormat="1" applyFont="1" applyFill="1" applyBorder="1" applyAlignment="1" applyProtection="1">
      <alignment horizontal="center" vertical="center" wrapText="1"/>
    </xf>
    <xf numFmtId="165" fontId="7" fillId="0" borderId="13" xfId="1" applyNumberFormat="1" applyFont="1" applyFill="1" applyBorder="1" applyAlignment="1" applyProtection="1">
      <alignment horizontal="center" vertical="center" wrapText="1"/>
    </xf>
    <xf numFmtId="165" fontId="7" fillId="0" borderId="7" xfId="1" applyNumberFormat="1" applyFont="1" applyFill="1" applyBorder="1" applyAlignment="1" applyProtection="1">
      <alignment horizontal="center" vertical="center" wrapText="1"/>
    </xf>
    <xf numFmtId="14" fontId="7" fillId="5" borderId="1" xfId="1" applyNumberFormat="1" applyFont="1" applyFill="1" applyBorder="1" applyAlignment="1" applyProtection="1">
      <alignment horizontal="center" vertical="center" wrapText="1"/>
    </xf>
    <xf numFmtId="0" fontId="7" fillId="2" borderId="6" xfId="0" applyNumberFormat="1" applyFont="1" applyFill="1" applyBorder="1" applyAlignment="1" applyProtection="1">
      <alignment horizontal="center" vertical="center" wrapText="1"/>
    </xf>
    <xf numFmtId="0" fontId="7" fillId="2" borderId="13" xfId="0" applyNumberFormat="1" applyFont="1" applyFill="1" applyBorder="1" applyAlignment="1" applyProtection="1">
      <alignment horizontal="center" vertical="center" wrapText="1"/>
    </xf>
    <xf numFmtId="0" fontId="7" fillId="2" borderId="7" xfId="0" applyNumberFormat="1" applyFont="1" applyFill="1" applyBorder="1" applyAlignment="1" applyProtection="1">
      <alignment horizontal="center" vertical="center" wrapText="1"/>
    </xf>
    <xf numFmtId="0" fontId="3" fillId="3" borderId="1" xfId="0" applyFont="1" applyFill="1" applyBorder="1" applyAlignment="1" applyProtection="1">
      <alignment horizontal="center" vertical="center" wrapText="1"/>
    </xf>
    <xf numFmtId="3" fontId="3" fillId="3" borderId="2" xfId="0" applyNumberFormat="1" applyFont="1" applyFill="1" applyBorder="1" applyAlignment="1" applyProtection="1">
      <alignment horizontal="center" vertical="center"/>
    </xf>
    <xf numFmtId="3" fontId="3" fillId="3" borderId="3" xfId="0" applyNumberFormat="1" applyFont="1" applyFill="1" applyBorder="1" applyAlignment="1" applyProtection="1">
      <alignment horizontal="center" vertical="center"/>
    </xf>
    <xf numFmtId="3" fontId="3" fillId="3" borderId="4" xfId="0" applyNumberFormat="1" applyFont="1" applyFill="1" applyBorder="1" applyAlignment="1" applyProtection="1">
      <alignment horizontal="center" vertical="center"/>
    </xf>
    <xf numFmtId="3" fontId="3" fillId="3" borderId="5" xfId="0" applyNumberFormat="1" applyFont="1" applyFill="1" applyBorder="1" applyAlignment="1" applyProtection="1">
      <alignment horizontal="center" vertical="center"/>
    </xf>
    <xf numFmtId="3" fontId="3" fillId="3" borderId="0" xfId="0" applyNumberFormat="1" applyFont="1" applyFill="1" applyBorder="1" applyAlignment="1" applyProtection="1">
      <alignment horizontal="center" vertical="center"/>
    </xf>
    <xf numFmtId="0" fontId="3" fillId="3" borderId="6" xfId="0" applyFont="1" applyFill="1" applyBorder="1" applyAlignment="1" applyProtection="1">
      <alignment horizontal="center" vertical="center" wrapText="1"/>
    </xf>
    <xf numFmtId="0" fontId="3" fillId="3" borderId="7" xfId="0" applyFont="1" applyFill="1" applyBorder="1" applyAlignment="1" applyProtection="1">
      <alignment horizontal="center" vertical="center" wrapText="1"/>
    </xf>
    <xf numFmtId="170" fontId="3" fillId="3" borderId="6" xfId="1" applyNumberFormat="1" applyFont="1" applyFill="1" applyBorder="1" applyAlignment="1" applyProtection="1">
      <alignment horizontal="center" vertical="center" wrapText="1"/>
    </xf>
    <xf numFmtId="170" fontId="3" fillId="3" borderId="7" xfId="1" applyNumberFormat="1" applyFont="1" applyFill="1" applyBorder="1" applyAlignment="1" applyProtection="1">
      <alignment horizontal="center" vertical="center" wrapText="1"/>
    </xf>
    <xf numFmtId="3" fontId="14" fillId="10" borderId="2" xfId="2" applyNumberFormat="1" applyFont="1" applyFill="1" applyBorder="1" applyAlignment="1" applyProtection="1">
      <alignment horizontal="center" vertical="center" wrapText="1"/>
    </xf>
    <xf numFmtId="3" fontId="14" fillId="10" borderId="3" xfId="2" applyNumberFormat="1" applyFont="1" applyFill="1" applyBorder="1" applyAlignment="1" applyProtection="1">
      <alignment horizontal="center" vertical="center" wrapText="1"/>
    </xf>
    <xf numFmtId="3" fontId="14" fillId="10" borderId="4" xfId="2" applyNumberFormat="1" applyFont="1" applyFill="1" applyBorder="1" applyAlignment="1" applyProtection="1">
      <alignment horizontal="center" vertical="center" wrapText="1"/>
    </xf>
    <xf numFmtId="3" fontId="14" fillId="10" borderId="1" xfId="2" applyNumberFormat="1" applyFont="1" applyFill="1" applyBorder="1" applyAlignment="1" applyProtection="1">
      <alignment horizontal="center" vertical="center" wrapText="1"/>
    </xf>
    <xf numFmtId="0" fontId="3" fillId="3" borderId="2" xfId="0" applyFont="1" applyFill="1" applyBorder="1" applyAlignment="1" applyProtection="1">
      <alignment horizontal="center" vertical="center" wrapText="1"/>
    </xf>
    <xf numFmtId="0" fontId="3" fillId="3" borderId="3" xfId="0" applyFont="1" applyFill="1" applyBorder="1" applyAlignment="1" applyProtection="1">
      <alignment horizontal="center" vertical="center" wrapText="1"/>
    </xf>
    <xf numFmtId="3" fontId="3" fillId="3" borderId="1" xfId="0" applyNumberFormat="1" applyFont="1" applyFill="1" applyBorder="1" applyAlignment="1" applyProtection="1">
      <alignment horizontal="center" vertical="center" wrapText="1"/>
    </xf>
    <xf numFmtId="14" fontId="3" fillId="3" borderId="16" xfId="0" applyNumberFormat="1" applyFont="1" applyFill="1" applyBorder="1" applyAlignment="1" applyProtection="1">
      <alignment horizontal="center" vertical="center" wrapText="1"/>
    </xf>
    <xf numFmtId="14" fontId="3" fillId="3" borderId="17" xfId="0" applyNumberFormat="1" applyFont="1" applyFill="1" applyBorder="1" applyAlignment="1" applyProtection="1">
      <alignment horizontal="center" vertical="center" wrapText="1"/>
    </xf>
    <xf numFmtId="3" fontId="3" fillId="9" borderId="1" xfId="0" applyNumberFormat="1" applyFont="1" applyFill="1" applyBorder="1" applyAlignment="1" applyProtection="1">
      <alignment horizontal="center" vertical="center" wrapText="1"/>
    </xf>
    <xf numFmtId="3" fontId="3" fillId="3" borderId="1" xfId="0" applyNumberFormat="1" applyFont="1" applyFill="1" applyBorder="1" applyAlignment="1" applyProtection="1">
      <alignment horizontal="center" vertical="center"/>
    </xf>
    <xf numFmtId="0" fontId="3" fillId="3" borderId="4" xfId="0" applyFont="1" applyFill="1" applyBorder="1" applyAlignment="1" applyProtection="1">
      <alignment horizontal="center" vertical="center" wrapText="1"/>
    </xf>
    <xf numFmtId="3" fontId="3" fillId="3" borderId="6" xfId="0" applyNumberFormat="1" applyFont="1" applyFill="1" applyBorder="1" applyAlignment="1" applyProtection="1">
      <alignment horizontal="center" vertical="center" wrapText="1"/>
    </xf>
    <xf numFmtId="3" fontId="3" fillId="3" borderId="7" xfId="0" applyNumberFormat="1" applyFont="1" applyFill="1" applyBorder="1" applyAlignment="1" applyProtection="1">
      <alignment horizontal="center" vertical="center" wrapText="1"/>
    </xf>
    <xf numFmtId="0" fontId="3" fillId="18" borderId="1" xfId="0" applyFont="1" applyFill="1" applyBorder="1" applyAlignment="1" applyProtection="1">
      <alignment horizontal="center" vertical="center" wrapText="1"/>
    </xf>
    <xf numFmtId="165" fontId="7" fillId="18" borderId="2" xfId="1" applyNumberFormat="1" applyFont="1" applyFill="1" applyBorder="1" applyAlignment="1" applyProtection="1">
      <alignment horizontal="center" vertical="center" wrapText="1"/>
    </xf>
    <xf numFmtId="165" fontId="7" fillId="18" borderId="3" xfId="1" applyNumberFormat="1" applyFont="1" applyFill="1" applyBorder="1" applyAlignment="1" applyProtection="1">
      <alignment horizontal="center" vertical="center" wrapText="1"/>
    </xf>
    <xf numFmtId="165" fontId="7" fillId="18" borderId="4" xfId="1" applyNumberFormat="1" applyFont="1" applyFill="1" applyBorder="1" applyAlignment="1" applyProtection="1">
      <alignment horizontal="center" vertical="center" wrapText="1"/>
    </xf>
    <xf numFmtId="3" fontId="14" fillId="18" borderId="6" xfId="2" applyNumberFormat="1" applyFont="1" applyFill="1" applyBorder="1" applyAlignment="1" applyProtection="1">
      <alignment horizontal="center" vertical="center" wrapText="1"/>
    </xf>
    <xf numFmtId="3" fontId="14" fillId="18" borderId="7" xfId="2" applyNumberFormat="1" applyFont="1" applyFill="1" applyBorder="1" applyAlignment="1" applyProtection="1">
      <alignment horizontal="center" vertical="center" wrapText="1"/>
    </xf>
    <xf numFmtId="3" fontId="14" fillId="18" borderId="2" xfId="2" applyNumberFormat="1" applyFont="1" applyFill="1" applyBorder="1" applyAlignment="1" applyProtection="1">
      <alignment horizontal="center" vertical="center" wrapText="1"/>
    </xf>
    <xf numFmtId="3" fontId="14" fillId="18" borderId="3" xfId="2" applyNumberFormat="1" applyFont="1" applyFill="1" applyBorder="1" applyAlignment="1" applyProtection="1">
      <alignment horizontal="center" vertical="center" wrapText="1"/>
    </xf>
    <xf numFmtId="3" fontId="14" fillId="18" borderId="4" xfId="2" applyNumberFormat="1" applyFont="1" applyFill="1" applyBorder="1" applyAlignment="1" applyProtection="1">
      <alignment horizontal="center" vertical="center" wrapText="1"/>
    </xf>
    <xf numFmtId="0" fontId="3" fillId="18" borderId="2" xfId="0" applyFont="1" applyFill="1" applyBorder="1" applyAlignment="1" applyProtection="1">
      <alignment horizontal="center" vertical="center" wrapText="1"/>
    </xf>
    <xf numFmtId="0" fontId="3" fillId="18" borderId="3" xfId="0" applyFont="1" applyFill="1" applyBorder="1" applyAlignment="1" applyProtection="1">
      <alignment horizontal="center" vertical="center" wrapText="1"/>
    </xf>
    <xf numFmtId="170" fontId="3" fillId="18" borderId="6" xfId="1" applyNumberFormat="1" applyFont="1" applyFill="1" applyBorder="1" applyAlignment="1" applyProtection="1">
      <alignment horizontal="center" vertical="center" wrapText="1"/>
    </xf>
    <xf numFmtId="170" fontId="3" fillId="18" borderId="7" xfId="1" applyNumberFormat="1" applyFont="1" applyFill="1" applyBorder="1" applyAlignment="1" applyProtection="1">
      <alignment horizontal="center" vertical="center" wrapText="1"/>
    </xf>
    <xf numFmtId="0" fontId="28" fillId="16" borderId="19" xfId="0" applyFont="1" applyFill="1" applyBorder="1" applyAlignment="1">
      <alignment horizontal="center" vertical="center" wrapText="1"/>
    </xf>
    <xf numFmtId="0" fontId="28" fillId="16" borderId="20" xfId="0" applyFont="1" applyFill="1" applyBorder="1" applyAlignment="1">
      <alignment horizontal="center" vertical="center" wrapText="1"/>
    </xf>
    <xf numFmtId="0" fontId="28" fillId="16" borderId="21" xfId="0" applyFont="1" applyFill="1" applyBorder="1" applyAlignment="1">
      <alignment horizontal="center" vertical="center" wrapText="1"/>
    </xf>
    <xf numFmtId="0" fontId="29" fillId="14" borderId="19" xfId="0" applyFont="1" applyFill="1" applyBorder="1" applyAlignment="1">
      <alignment horizontal="center" vertical="center" wrapText="1"/>
    </xf>
    <xf numFmtId="0" fontId="29" fillId="14" borderId="20" xfId="0" applyFont="1" applyFill="1" applyBorder="1" applyAlignment="1">
      <alignment horizontal="center" vertical="center" wrapText="1"/>
    </xf>
    <xf numFmtId="0" fontId="29" fillId="14" borderId="21" xfId="0" applyFont="1" applyFill="1" applyBorder="1" applyAlignment="1">
      <alignment horizontal="center" vertical="center" wrapText="1"/>
    </xf>
    <xf numFmtId="170" fontId="29" fillId="0" borderId="19" xfId="1" applyNumberFormat="1" applyFont="1" applyBorder="1" applyAlignment="1">
      <alignment vertical="center" wrapText="1"/>
    </xf>
    <xf numFmtId="170" fontId="29" fillId="0" borderId="21" xfId="1" applyNumberFormat="1" applyFont="1" applyBorder="1" applyAlignment="1">
      <alignment vertical="center" wrapText="1"/>
    </xf>
    <xf numFmtId="0" fontId="29" fillId="0" borderId="19" xfId="0" applyFont="1" applyBorder="1" applyAlignment="1">
      <alignment vertical="center" wrapText="1"/>
    </xf>
    <xf numFmtId="0" fontId="29" fillId="0" borderId="21" xfId="0" applyFont="1" applyBorder="1" applyAlignment="1">
      <alignment vertical="center" wrapText="1"/>
    </xf>
    <xf numFmtId="0" fontId="26" fillId="16" borderId="0" xfId="0" applyFont="1" applyFill="1" applyAlignment="1">
      <alignment horizontal="center" wrapText="1"/>
    </xf>
    <xf numFmtId="170" fontId="26" fillId="16" borderId="0" xfId="1" applyNumberFormat="1" applyFont="1" applyFill="1" applyAlignment="1">
      <alignment horizontal="center" wrapText="1"/>
    </xf>
    <xf numFmtId="0" fontId="26" fillId="0" borderId="6" xfId="0" applyFont="1" applyBorder="1" applyAlignment="1">
      <alignment horizontal="center" vertical="center"/>
    </xf>
    <xf numFmtId="0" fontId="26" fillId="0" borderId="7" xfId="0" applyFont="1" applyBorder="1" applyAlignment="1">
      <alignment horizontal="center" vertical="center"/>
    </xf>
    <xf numFmtId="0" fontId="26" fillId="0" borderId="13" xfId="0" applyFont="1" applyBorder="1" applyAlignment="1">
      <alignment horizontal="center" vertical="center"/>
    </xf>
    <xf numFmtId="0" fontId="26" fillId="2" borderId="1" xfId="0" applyFont="1" applyFill="1" applyBorder="1" applyAlignment="1">
      <alignment horizontal="center" vertical="center" wrapText="1"/>
    </xf>
  </cellXfs>
  <cellStyles count="7">
    <cellStyle name="Comma" xfId="1" builtinId="3"/>
    <cellStyle name="Hyperlink" xfId="6" builtinId="8"/>
    <cellStyle name="Normal" xfId="0" builtinId="0"/>
    <cellStyle name="Normal 19" xfId="2"/>
    <cellStyle name="Normal 3 2" xfId="4"/>
    <cellStyle name="Normal 7" xfId="3"/>
    <cellStyle name="Percent" xfId="5" builtinId="5"/>
  </cellStyles>
  <dxfs count="1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hnv@novaon.vn" TargetMode="External"/><Relationship Id="rId13" Type="http://schemas.openxmlformats.org/officeDocument/2006/relationships/hyperlink" Target="mailto:bom@novaon.vn" TargetMode="External"/><Relationship Id="rId18" Type="http://schemas.openxmlformats.org/officeDocument/2006/relationships/hyperlink" Target="mailto:fnv@novaon.vn" TargetMode="External"/><Relationship Id="rId3" Type="http://schemas.openxmlformats.org/officeDocument/2006/relationships/hyperlink" Target="mailto:cnv@novaon.vn" TargetMode="External"/><Relationship Id="rId21" Type="http://schemas.openxmlformats.org/officeDocument/2006/relationships/printerSettings" Target="../printerSettings/printerSettings1.bin"/><Relationship Id="rId7" Type="http://schemas.openxmlformats.org/officeDocument/2006/relationships/hyperlink" Target="mailto:gnv@novaon.vn" TargetMode="External"/><Relationship Id="rId12" Type="http://schemas.openxmlformats.org/officeDocument/2006/relationships/hyperlink" Target="mailto:anv@novaon.vn" TargetMode="External"/><Relationship Id="rId17" Type="http://schemas.openxmlformats.org/officeDocument/2006/relationships/hyperlink" Target="mailto:cnv@novaon.vn" TargetMode="External"/><Relationship Id="rId2" Type="http://schemas.openxmlformats.org/officeDocument/2006/relationships/hyperlink" Target="mailto:bnv@novaon.vn" TargetMode="External"/><Relationship Id="rId16" Type="http://schemas.openxmlformats.org/officeDocument/2006/relationships/hyperlink" Target="mailto:cnv@novaon.vn" TargetMode="External"/><Relationship Id="rId20" Type="http://schemas.openxmlformats.org/officeDocument/2006/relationships/hyperlink" Target="mailto:inv@novaon.vn" TargetMode="External"/><Relationship Id="rId1" Type="http://schemas.openxmlformats.org/officeDocument/2006/relationships/hyperlink" Target="mailto:anv@novaon.vn" TargetMode="External"/><Relationship Id="rId6" Type="http://schemas.openxmlformats.org/officeDocument/2006/relationships/hyperlink" Target="mailto:fnv@novaon.vn" TargetMode="External"/><Relationship Id="rId11" Type="http://schemas.openxmlformats.org/officeDocument/2006/relationships/hyperlink" Target="mailto:bom@novaon.vn" TargetMode="External"/><Relationship Id="rId5" Type="http://schemas.openxmlformats.org/officeDocument/2006/relationships/hyperlink" Target="mailto:env@novaon.vn" TargetMode="External"/><Relationship Id="rId15" Type="http://schemas.openxmlformats.org/officeDocument/2006/relationships/hyperlink" Target="mailto:bom@novaon.vn" TargetMode="External"/><Relationship Id="rId10" Type="http://schemas.openxmlformats.org/officeDocument/2006/relationships/hyperlink" Target="mailto:knv@novaon.vn" TargetMode="External"/><Relationship Id="rId19" Type="http://schemas.openxmlformats.org/officeDocument/2006/relationships/hyperlink" Target="mailto:fnv@novaon.vn" TargetMode="External"/><Relationship Id="rId4" Type="http://schemas.openxmlformats.org/officeDocument/2006/relationships/hyperlink" Target="mailto:dnv@novaon.vn" TargetMode="External"/><Relationship Id="rId9" Type="http://schemas.openxmlformats.org/officeDocument/2006/relationships/hyperlink" Target="mailto:inv@novaon.vn" TargetMode="External"/><Relationship Id="rId14" Type="http://schemas.openxmlformats.org/officeDocument/2006/relationships/hyperlink" Target="mailto:bom@novaon.vn"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1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3.xml.rels><?xml version="1.0" encoding="UTF-8" standalone="yes"?>
<Relationships xmlns="http://schemas.openxmlformats.org/package/2006/relationships"><Relationship Id="rId1" Type="http://schemas.openxmlformats.org/officeDocument/2006/relationships/hyperlink" Target="mailto:allketoan.ads@novaon.vn" TargetMode="Externa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S15"/>
  <sheetViews>
    <sheetView showGridLines="0" workbookViewId="0">
      <selection activeCell="AG19" sqref="AG19"/>
    </sheetView>
  </sheetViews>
  <sheetFormatPr defaultRowHeight="12.75" x14ac:dyDescent="0.2"/>
  <cols>
    <col min="1" max="1" width="5.5703125" style="27" customWidth="1"/>
    <col min="2" max="2" width="13" style="27" customWidth="1"/>
    <col min="3" max="3" width="9.28515625" style="27" bestFit="1" customWidth="1"/>
    <col min="4" max="4" width="13.42578125" style="27" customWidth="1"/>
    <col min="5" max="5" width="15.7109375" style="27" customWidth="1"/>
    <col min="6" max="13" width="9.28515625" style="27" bestFit="1" customWidth="1"/>
    <col min="14" max="14" width="9.42578125" style="27" bestFit="1" customWidth="1"/>
    <col min="15" max="17" width="9.28515625" style="27" bestFit="1" customWidth="1"/>
    <col min="18" max="18" width="12.5703125" style="27" bestFit="1" customWidth="1"/>
    <col min="19" max="34" width="9.28515625" style="27" bestFit="1" customWidth="1"/>
    <col min="35" max="35" width="9.140625" style="27"/>
    <col min="36" max="39" width="9.28515625" style="27" bestFit="1" customWidth="1"/>
    <col min="40" max="40" width="9.140625" style="27"/>
    <col min="41" max="44" width="9.28515625" style="27" bestFit="1" customWidth="1"/>
    <col min="45" max="45" width="9.28515625" style="27" customWidth="1"/>
    <col min="46" max="16384" width="9.140625" style="27"/>
  </cols>
  <sheetData>
    <row r="1" spans="1:45" x14ac:dyDescent="0.2">
      <c r="A1" s="83" t="s">
        <v>207</v>
      </c>
      <c r="B1" s="72"/>
      <c r="C1" s="72"/>
      <c r="D1" s="73"/>
      <c r="E1" s="73"/>
      <c r="F1" s="73"/>
      <c r="G1" s="73"/>
      <c r="H1" s="73"/>
      <c r="I1" s="73"/>
      <c r="J1" s="73"/>
      <c r="K1" s="73"/>
      <c r="L1" s="73"/>
      <c r="M1" s="73"/>
      <c r="N1" s="73"/>
      <c r="O1" s="73"/>
      <c r="P1" s="73"/>
      <c r="Q1" s="73"/>
      <c r="R1" s="73"/>
      <c r="S1" s="73"/>
      <c r="T1" s="73"/>
      <c r="U1" s="73"/>
      <c r="V1" s="73"/>
      <c r="W1" s="73"/>
      <c r="X1" s="73"/>
      <c r="Y1" s="73"/>
      <c r="Z1" s="73"/>
      <c r="AA1" s="73"/>
      <c r="AB1" s="73"/>
      <c r="AC1" s="73"/>
      <c r="AD1" s="73"/>
      <c r="AE1" s="73"/>
      <c r="AF1" s="73"/>
      <c r="AG1" s="73"/>
      <c r="AH1" s="73"/>
      <c r="AI1" s="73"/>
      <c r="AJ1" s="73"/>
      <c r="AK1" s="73"/>
      <c r="AL1" s="73"/>
      <c r="AM1" s="73"/>
      <c r="AO1" s="73"/>
      <c r="AP1" s="73"/>
      <c r="AQ1" s="73"/>
      <c r="AR1" s="73"/>
      <c r="AS1" s="73"/>
    </row>
    <row r="2" spans="1:45" x14ac:dyDescent="0.2">
      <c r="A2" s="71"/>
      <c r="B2" s="72"/>
      <c r="C2" s="72"/>
      <c r="D2" s="20"/>
      <c r="E2" s="20"/>
      <c r="F2" s="20"/>
      <c r="G2" s="21"/>
      <c r="H2" s="71"/>
      <c r="I2" s="71"/>
      <c r="J2" s="21"/>
      <c r="K2" s="71"/>
      <c r="L2" s="21"/>
      <c r="M2" s="21"/>
      <c r="N2" s="21"/>
      <c r="O2" s="21"/>
      <c r="P2" s="21"/>
      <c r="Q2" s="21"/>
      <c r="R2" s="21"/>
      <c r="S2" s="21"/>
      <c r="T2" s="21"/>
      <c r="U2" s="21"/>
      <c r="V2" s="21"/>
      <c r="W2" s="21"/>
      <c r="X2" s="21"/>
      <c r="Y2" s="74"/>
      <c r="Z2" s="21"/>
      <c r="AA2" s="21"/>
      <c r="AB2" s="21"/>
      <c r="AC2" s="21"/>
      <c r="AD2" s="21"/>
      <c r="AE2" s="21"/>
      <c r="AF2" s="74"/>
      <c r="AG2" s="74"/>
      <c r="AH2" s="74"/>
      <c r="AI2" s="74"/>
      <c r="AJ2" s="21"/>
      <c r="AK2" s="21"/>
      <c r="AL2" s="21"/>
      <c r="AM2" s="21"/>
      <c r="AO2" s="21"/>
      <c r="AP2" s="21"/>
      <c r="AQ2" s="21"/>
      <c r="AR2" s="21"/>
      <c r="AS2" s="21"/>
    </row>
    <row r="3" spans="1:45" ht="15" customHeight="1" x14ac:dyDescent="0.2">
      <c r="A3" s="305" t="s">
        <v>44</v>
      </c>
      <c r="B3" s="305" t="s">
        <v>45</v>
      </c>
      <c r="C3" s="305" t="s">
        <v>2</v>
      </c>
      <c r="D3" s="305" t="s">
        <v>46</v>
      </c>
      <c r="E3" s="305" t="s">
        <v>47</v>
      </c>
      <c r="F3" s="305" t="s">
        <v>4</v>
      </c>
      <c r="G3" s="305" t="s">
        <v>5</v>
      </c>
      <c r="H3" s="305" t="s">
        <v>6</v>
      </c>
      <c r="I3" s="305"/>
      <c r="J3" s="305"/>
      <c r="K3" s="305" t="s">
        <v>48</v>
      </c>
      <c r="L3" s="305" t="s">
        <v>49</v>
      </c>
      <c r="M3" s="305"/>
      <c r="N3" s="305"/>
      <c r="O3" s="305"/>
      <c r="P3" s="305" t="s">
        <v>50</v>
      </c>
      <c r="Q3" s="305" t="s">
        <v>51</v>
      </c>
      <c r="R3" s="305" t="s">
        <v>52</v>
      </c>
      <c r="S3" s="305" t="s">
        <v>53</v>
      </c>
      <c r="T3" s="305" t="s">
        <v>54</v>
      </c>
      <c r="U3" s="305" t="s">
        <v>55</v>
      </c>
      <c r="V3" s="305" t="s">
        <v>56</v>
      </c>
      <c r="W3" s="305" t="s">
        <v>57</v>
      </c>
      <c r="X3" s="305" t="s">
        <v>58</v>
      </c>
      <c r="Y3" s="305" t="s">
        <v>59</v>
      </c>
      <c r="Z3" s="309" t="s">
        <v>60</v>
      </c>
      <c r="AA3" s="309"/>
      <c r="AB3" s="309"/>
      <c r="AC3" s="309"/>
      <c r="AD3" s="309" t="s">
        <v>61</v>
      </c>
      <c r="AE3" s="309"/>
      <c r="AF3" s="310" t="s">
        <v>297</v>
      </c>
      <c r="AG3" s="310"/>
      <c r="AH3" s="310"/>
      <c r="AI3" s="310"/>
      <c r="AJ3" s="311" t="s">
        <v>298</v>
      </c>
      <c r="AK3" s="311"/>
      <c r="AL3" s="311"/>
      <c r="AM3" s="311"/>
      <c r="AN3" s="307" t="s">
        <v>299</v>
      </c>
      <c r="AO3" s="308"/>
      <c r="AP3" s="308"/>
      <c r="AQ3" s="308"/>
      <c r="AR3" s="308"/>
      <c r="AS3" s="308"/>
    </row>
    <row r="4" spans="1:45" ht="63.75" x14ac:dyDescent="0.2">
      <c r="A4" s="306"/>
      <c r="B4" s="306"/>
      <c r="C4" s="306" t="s">
        <v>2</v>
      </c>
      <c r="D4" s="306" t="s">
        <v>46</v>
      </c>
      <c r="E4" s="306" t="s">
        <v>47</v>
      </c>
      <c r="F4" s="306" t="s">
        <v>4</v>
      </c>
      <c r="G4" s="306" t="s">
        <v>5</v>
      </c>
      <c r="H4" s="43" t="s">
        <v>62</v>
      </c>
      <c r="I4" s="43" t="s">
        <v>63</v>
      </c>
      <c r="J4" s="43" t="s">
        <v>64</v>
      </c>
      <c r="K4" s="306" t="s">
        <v>65</v>
      </c>
      <c r="L4" s="43" t="s">
        <v>66</v>
      </c>
      <c r="M4" s="43" t="s">
        <v>67</v>
      </c>
      <c r="N4" s="43" t="s">
        <v>68</v>
      </c>
      <c r="O4" s="43" t="s">
        <v>69</v>
      </c>
      <c r="P4" s="306" t="s">
        <v>50</v>
      </c>
      <c r="Q4" s="306" t="s">
        <v>51</v>
      </c>
      <c r="R4" s="306" t="s">
        <v>52</v>
      </c>
      <c r="S4" s="306" t="s">
        <v>53</v>
      </c>
      <c r="T4" s="306" t="s">
        <v>54</v>
      </c>
      <c r="U4" s="306" t="s">
        <v>55</v>
      </c>
      <c r="V4" s="306" t="s">
        <v>56</v>
      </c>
      <c r="W4" s="306" t="s">
        <v>57</v>
      </c>
      <c r="X4" s="306" t="s">
        <v>58</v>
      </c>
      <c r="Y4" s="306" t="s">
        <v>59</v>
      </c>
      <c r="Z4" s="44" t="s">
        <v>70</v>
      </c>
      <c r="AA4" s="44" t="s">
        <v>71</v>
      </c>
      <c r="AB4" s="44" t="s">
        <v>72</v>
      </c>
      <c r="AC4" s="44" t="s">
        <v>73</v>
      </c>
      <c r="AD4" s="44" t="s">
        <v>61</v>
      </c>
      <c r="AE4" s="44" t="s">
        <v>74</v>
      </c>
      <c r="AF4" s="45" t="s">
        <v>75</v>
      </c>
      <c r="AG4" s="46" t="s">
        <v>76</v>
      </c>
      <c r="AH4" s="46" t="s">
        <v>77</v>
      </c>
      <c r="AI4" s="45" t="s">
        <v>82</v>
      </c>
      <c r="AJ4" s="45" t="s">
        <v>79</v>
      </c>
      <c r="AK4" s="45" t="s">
        <v>80</v>
      </c>
      <c r="AL4" s="45" t="s">
        <v>81</v>
      </c>
      <c r="AM4" s="45" t="s">
        <v>82</v>
      </c>
      <c r="AN4" s="47" t="s">
        <v>93</v>
      </c>
      <c r="AO4" s="47" t="s">
        <v>79</v>
      </c>
      <c r="AP4" s="47" t="s">
        <v>80</v>
      </c>
      <c r="AQ4" s="47" t="s">
        <v>81</v>
      </c>
      <c r="AR4" s="47" t="s">
        <v>82</v>
      </c>
      <c r="AS4" s="47" t="s">
        <v>78</v>
      </c>
    </row>
    <row r="5" spans="1:45" x14ac:dyDescent="0.2">
      <c r="A5" s="306"/>
      <c r="B5" s="48">
        <v>1</v>
      </c>
      <c r="C5" s="48">
        <v>2</v>
      </c>
      <c r="D5" s="48">
        <v>3</v>
      </c>
      <c r="E5" s="48">
        <v>4</v>
      </c>
      <c r="F5" s="48">
        <v>5</v>
      </c>
      <c r="G5" s="48">
        <v>6</v>
      </c>
      <c r="H5" s="48">
        <v>7</v>
      </c>
      <c r="I5" s="48">
        <v>8</v>
      </c>
      <c r="J5" s="48">
        <v>9</v>
      </c>
      <c r="K5" s="48">
        <v>10</v>
      </c>
      <c r="L5" s="48">
        <v>11</v>
      </c>
      <c r="M5" s="48">
        <v>12</v>
      </c>
      <c r="N5" s="48">
        <v>13</v>
      </c>
      <c r="O5" s="48">
        <v>14</v>
      </c>
      <c r="P5" s="48">
        <v>15</v>
      </c>
      <c r="Q5" s="48">
        <v>16</v>
      </c>
      <c r="R5" s="48">
        <v>17</v>
      </c>
      <c r="S5" s="48">
        <v>18</v>
      </c>
      <c r="T5" s="48">
        <v>19</v>
      </c>
      <c r="U5" s="48">
        <v>20</v>
      </c>
      <c r="V5" s="48">
        <v>21</v>
      </c>
      <c r="W5" s="48">
        <v>22</v>
      </c>
      <c r="X5" s="48">
        <v>23</v>
      </c>
      <c r="Y5" s="48">
        <v>24</v>
      </c>
      <c r="Z5" s="48">
        <v>25</v>
      </c>
      <c r="AA5" s="48">
        <v>26</v>
      </c>
      <c r="AB5" s="48">
        <v>27</v>
      </c>
      <c r="AC5" s="48">
        <v>28</v>
      </c>
      <c r="AD5" s="48">
        <v>29</v>
      </c>
      <c r="AE5" s="48">
        <v>30</v>
      </c>
      <c r="AF5" s="48">
        <v>31</v>
      </c>
      <c r="AG5" s="48">
        <v>32</v>
      </c>
      <c r="AH5" s="48">
        <v>33</v>
      </c>
      <c r="AI5" s="48">
        <v>34</v>
      </c>
      <c r="AJ5" s="48">
        <v>35</v>
      </c>
      <c r="AK5" s="48">
        <v>36</v>
      </c>
      <c r="AL5" s="48">
        <v>37</v>
      </c>
      <c r="AM5" s="48">
        <v>38</v>
      </c>
      <c r="AN5" s="48">
        <v>39</v>
      </c>
      <c r="AO5" s="48">
        <v>40</v>
      </c>
      <c r="AP5" s="48">
        <v>41</v>
      </c>
      <c r="AQ5" s="48">
        <v>42</v>
      </c>
      <c r="AR5" s="48">
        <v>43</v>
      </c>
      <c r="AS5" s="48">
        <v>44</v>
      </c>
    </row>
    <row r="6" spans="1:45" x14ac:dyDescent="0.2">
      <c r="A6" s="51">
        <v>1</v>
      </c>
      <c r="B6" s="75" t="s">
        <v>95</v>
      </c>
      <c r="C6" s="18" t="s">
        <v>392</v>
      </c>
      <c r="D6" s="50" t="s">
        <v>193</v>
      </c>
      <c r="E6" s="50" t="s">
        <v>105</v>
      </c>
      <c r="F6" s="49" t="s">
        <v>83</v>
      </c>
      <c r="G6" s="50" t="s">
        <v>85</v>
      </c>
      <c r="H6" s="49" t="s">
        <v>115</v>
      </c>
      <c r="I6" s="51"/>
      <c r="J6" s="52"/>
      <c r="K6" s="53" t="s">
        <v>84</v>
      </c>
      <c r="L6" s="54">
        <v>0</v>
      </c>
      <c r="M6" s="55">
        <v>42736</v>
      </c>
      <c r="N6" s="55">
        <v>42795</v>
      </c>
      <c r="O6" s="54">
        <v>0</v>
      </c>
      <c r="P6" s="55">
        <v>32143</v>
      </c>
      <c r="Q6" s="55" t="s">
        <v>90</v>
      </c>
      <c r="R6" s="56">
        <v>123456789</v>
      </c>
      <c r="S6" s="57" t="s">
        <v>83</v>
      </c>
      <c r="T6" s="57" t="s">
        <v>116</v>
      </c>
      <c r="U6" s="58">
        <v>1001</v>
      </c>
      <c r="V6" s="55">
        <v>36526</v>
      </c>
      <c r="W6" s="57" t="s">
        <v>83</v>
      </c>
      <c r="X6" s="76" t="s">
        <v>117</v>
      </c>
      <c r="Y6" s="76" t="s">
        <v>127</v>
      </c>
      <c r="Z6" s="52">
        <v>1</v>
      </c>
      <c r="AA6" s="52">
        <v>1</v>
      </c>
      <c r="AB6" s="52">
        <v>0</v>
      </c>
      <c r="AC6" s="52" t="s">
        <v>128</v>
      </c>
      <c r="AD6" s="52">
        <v>2001</v>
      </c>
      <c r="AE6" s="52" t="s">
        <v>83</v>
      </c>
      <c r="AF6" s="77" t="s">
        <v>129</v>
      </c>
      <c r="AG6" s="77" t="s">
        <v>105</v>
      </c>
      <c r="AH6" s="77" t="s">
        <v>139</v>
      </c>
      <c r="AI6" s="77" t="s">
        <v>83</v>
      </c>
      <c r="AJ6" s="59" t="s">
        <v>140</v>
      </c>
      <c r="AK6" s="59" t="s">
        <v>105</v>
      </c>
      <c r="AL6" s="59" t="s">
        <v>150</v>
      </c>
      <c r="AM6" s="77" t="s">
        <v>83</v>
      </c>
      <c r="AN6" s="78" t="s">
        <v>94</v>
      </c>
      <c r="AO6" s="59" t="str">
        <f>AJ6</f>
        <v>TPB001</v>
      </c>
      <c r="AP6" s="59" t="str">
        <f t="shared" ref="AP6:AP15" si="0">AK6</f>
        <v>Nguyễn Văn A</v>
      </c>
      <c r="AQ6" s="59" t="str">
        <f t="shared" ref="AQ6:AQ15" si="1">AL6</f>
        <v>KHB</v>
      </c>
      <c r="AR6" s="77" t="str">
        <f t="shared" ref="AR6:AR15" si="2">AM6</f>
        <v>HN</v>
      </c>
      <c r="AS6" s="77"/>
    </row>
    <row r="7" spans="1:45" x14ac:dyDescent="0.2">
      <c r="A7" s="51">
        <v>2</v>
      </c>
      <c r="B7" s="75" t="s">
        <v>96</v>
      </c>
      <c r="C7" s="18" t="s">
        <v>392</v>
      </c>
      <c r="D7" s="50" t="s">
        <v>194</v>
      </c>
      <c r="E7" s="50" t="s">
        <v>106</v>
      </c>
      <c r="F7" s="49" t="s">
        <v>83</v>
      </c>
      <c r="G7" s="50" t="s">
        <v>86</v>
      </c>
      <c r="H7" s="49" t="s">
        <v>92</v>
      </c>
      <c r="I7" s="51"/>
      <c r="J7" s="52"/>
      <c r="K7" s="53" t="s">
        <v>84</v>
      </c>
      <c r="L7" s="54">
        <v>0</v>
      </c>
      <c r="M7" s="55">
        <v>42736</v>
      </c>
      <c r="N7" s="55">
        <v>42795</v>
      </c>
      <c r="O7" s="54">
        <v>0</v>
      </c>
      <c r="P7" s="55">
        <v>32143</v>
      </c>
      <c r="Q7" s="55" t="s">
        <v>90</v>
      </c>
      <c r="R7" s="56">
        <v>23456789</v>
      </c>
      <c r="S7" s="57" t="s">
        <v>83</v>
      </c>
      <c r="T7" s="57" t="s">
        <v>116</v>
      </c>
      <c r="U7" s="58">
        <v>1002</v>
      </c>
      <c r="V7" s="55">
        <v>36527</v>
      </c>
      <c r="W7" s="57" t="s">
        <v>83</v>
      </c>
      <c r="X7" s="76" t="s">
        <v>118</v>
      </c>
      <c r="Y7" s="76" t="s">
        <v>117</v>
      </c>
      <c r="Z7" s="52">
        <v>2</v>
      </c>
      <c r="AA7" s="52">
        <v>2</v>
      </c>
      <c r="AB7" s="52">
        <v>0</v>
      </c>
      <c r="AC7" s="52" t="s">
        <v>128</v>
      </c>
      <c r="AD7" s="52">
        <v>2002</v>
      </c>
      <c r="AE7" s="52" t="s">
        <v>83</v>
      </c>
      <c r="AF7" s="77" t="s">
        <v>130</v>
      </c>
      <c r="AG7" s="77" t="s">
        <v>106</v>
      </c>
      <c r="AH7" s="77" t="s">
        <v>139</v>
      </c>
      <c r="AI7" s="77" t="s">
        <v>83</v>
      </c>
      <c r="AJ7" s="59" t="s">
        <v>141</v>
      </c>
      <c r="AK7" s="59" t="s">
        <v>106</v>
      </c>
      <c r="AL7" s="59" t="s">
        <v>150</v>
      </c>
      <c r="AM7" s="77" t="s">
        <v>83</v>
      </c>
      <c r="AN7" s="78" t="s">
        <v>94</v>
      </c>
      <c r="AO7" s="59" t="str">
        <f t="shared" ref="AO7:AO15" si="3">AJ7</f>
        <v>TPB002</v>
      </c>
      <c r="AP7" s="59" t="str">
        <f t="shared" si="0"/>
        <v>Nguyễn Văn B</v>
      </c>
      <c r="AQ7" s="59" t="str">
        <f t="shared" si="1"/>
        <v>KHB</v>
      </c>
      <c r="AR7" s="77" t="str">
        <f t="shared" si="2"/>
        <v>HN</v>
      </c>
      <c r="AS7" s="77"/>
    </row>
    <row r="8" spans="1:45" x14ac:dyDescent="0.2">
      <c r="A8" s="51">
        <v>3</v>
      </c>
      <c r="B8" s="75" t="s">
        <v>97</v>
      </c>
      <c r="C8" s="18" t="s">
        <v>393</v>
      </c>
      <c r="D8" s="50" t="s">
        <v>195</v>
      </c>
      <c r="E8" s="50" t="s">
        <v>108</v>
      </c>
      <c r="F8" s="49" t="s">
        <v>83</v>
      </c>
      <c r="G8" s="50" t="s">
        <v>85</v>
      </c>
      <c r="H8" s="49" t="s">
        <v>203</v>
      </c>
      <c r="I8" s="51"/>
      <c r="J8" s="52"/>
      <c r="K8" s="53" t="s">
        <v>84</v>
      </c>
      <c r="L8" s="54">
        <v>0</v>
      </c>
      <c r="M8" s="55">
        <v>42736</v>
      </c>
      <c r="N8" s="55">
        <v>42795</v>
      </c>
      <c r="O8" s="54">
        <v>0</v>
      </c>
      <c r="P8" s="55">
        <v>32143</v>
      </c>
      <c r="Q8" s="55" t="s">
        <v>90</v>
      </c>
      <c r="R8" s="56">
        <v>3456789</v>
      </c>
      <c r="S8" s="57" t="s">
        <v>83</v>
      </c>
      <c r="T8" s="57" t="s">
        <v>116</v>
      </c>
      <c r="U8" s="58">
        <v>1003</v>
      </c>
      <c r="V8" s="55">
        <v>36528</v>
      </c>
      <c r="W8" s="57" t="s">
        <v>83</v>
      </c>
      <c r="X8" s="76" t="s">
        <v>119</v>
      </c>
      <c r="Y8" s="76" t="s">
        <v>127</v>
      </c>
      <c r="Z8" s="52">
        <v>3</v>
      </c>
      <c r="AA8" s="52">
        <v>3</v>
      </c>
      <c r="AB8" s="52">
        <v>0</v>
      </c>
      <c r="AC8" s="52" t="s">
        <v>128</v>
      </c>
      <c r="AD8" s="52">
        <v>2003</v>
      </c>
      <c r="AE8" s="52" t="s">
        <v>83</v>
      </c>
      <c r="AF8" s="77" t="s">
        <v>131</v>
      </c>
      <c r="AG8" s="77" t="s">
        <v>108</v>
      </c>
      <c r="AH8" s="77" t="s">
        <v>139</v>
      </c>
      <c r="AI8" s="77" t="s">
        <v>83</v>
      </c>
      <c r="AJ8" s="59" t="s">
        <v>142</v>
      </c>
      <c r="AK8" s="59" t="s">
        <v>108</v>
      </c>
      <c r="AL8" s="59" t="s">
        <v>150</v>
      </c>
      <c r="AM8" s="77" t="s">
        <v>83</v>
      </c>
      <c r="AN8" s="78" t="s">
        <v>94</v>
      </c>
      <c r="AO8" s="59" t="str">
        <f t="shared" si="3"/>
        <v>TPB003</v>
      </c>
      <c r="AP8" s="59" t="str">
        <f t="shared" si="0"/>
        <v>Nguyễn Văn C</v>
      </c>
      <c r="AQ8" s="59" t="str">
        <f t="shared" si="1"/>
        <v>KHB</v>
      </c>
      <c r="AR8" s="77" t="str">
        <f t="shared" si="2"/>
        <v>HN</v>
      </c>
      <c r="AS8" s="77"/>
    </row>
    <row r="9" spans="1:45" x14ac:dyDescent="0.2">
      <c r="A9" s="51">
        <v>4</v>
      </c>
      <c r="B9" s="75" t="s">
        <v>98</v>
      </c>
      <c r="C9" s="18" t="s">
        <v>393</v>
      </c>
      <c r="D9" s="50" t="s">
        <v>196</v>
      </c>
      <c r="E9" s="50" t="s">
        <v>109</v>
      </c>
      <c r="F9" s="49" t="s">
        <v>83</v>
      </c>
      <c r="G9" s="50" t="s">
        <v>86</v>
      </c>
      <c r="H9" s="49" t="s">
        <v>91</v>
      </c>
      <c r="I9" s="51"/>
      <c r="J9" s="52"/>
      <c r="K9" s="53" t="s">
        <v>84</v>
      </c>
      <c r="L9" s="54">
        <v>0</v>
      </c>
      <c r="M9" s="55">
        <v>42736</v>
      </c>
      <c r="N9" s="55">
        <v>42795</v>
      </c>
      <c r="O9" s="54">
        <v>0</v>
      </c>
      <c r="P9" s="55">
        <v>32143</v>
      </c>
      <c r="Q9" s="55" t="s">
        <v>90</v>
      </c>
      <c r="R9" s="56">
        <v>456789</v>
      </c>
      <c r="S9" s="57" t="s">
        <v>83</v>
      </c>
      <c r="T9" s="57" t="s">
        <v>116</v>
      </c>
      <c r="U9" s="58">
        <v>1004</v>
      </c>
      <c r="V9" s="55">
        <v>36529</v>
      </c>
      <c r="W9" s="57" t="s">
        <v>83</v>
      </c>
      <c r="X9" s="76" t="s">
        <v>120</v>
      </c>
      <c r="Y9" s="76" t="s">
        <v>119</v>
      </c>
      <c r="Z9" s="52">
        <v>4</v>
      </c>
      <c r="AA9" s="52">
        <v>4</v>
      </c>
      <c r="AB9" s="52">
        <v>0</v>
      </c>
      <c r="AC9" s="52" t="s">
        <v>128</v>
      </c>
      <c r="AD9" s="52">
        <v>2004</v>
      </c>
      <c r="AE9" s="52" t="s">
        <v>83</v>
      </c>
      <c r="AF9" s="77" t="s">
        <v>132</v>
      </c>
      <c r="AG9" s="77" t="s">
        <v>109</v>
      </c>
      <c r="AH9" s="77" t="s">
        <v>139</v>
      </c>
      <c r="AI9" s="77" t="s">
        <v>83</v>
      </c>
      <c r="AJ9" s="59" t="s">
        <v>143</v>
      </c>
      <c r="AK9" s="59" t="s">
        <v>109</v>
      </c>
      <c r="AL9" s="59" t="s">
        <v>150</v>
      </c>
      <c r="AM9" s="77" t="s">
        <v>83</v>
      </c>
      <c r="AN9" s="78" t="s">
        <v>94</v>
      </c>
      <c r="AO9" s="59" t="str">
        <f t="shared" si="3"/>
        <v>TPB004</v>
      </c>
      <c r="AP9" s="59" t="str">
        <f t="shared" si="0"/>
        <v>Nguyễn Văn D</v>
      </c>
      <c r="AQ9" s="59" t="str">
        <f t="shared" si="1"/>
        <v>KHB</v>
      </c>
      <c r="AR9" s="77" t="str">
        <f t="shared" si="2"/>
        <v>HN</v>
      </c>
      <c r="AS9" s="77"/>
    </row>
    <row r="10" spans="1:45" x14ac:dyDescent="0.2">
      <c r="A10" s="51">
        <v>5</v>
      </c>
      <c r="B10" s="75" t="s">
        <v>99</v>
      </c>
      <c r="C10" s="18" t="s">
        <v>393</v>
      </c>
      <c r="D10" s="50" t="s">
        <v>197</v>
      </c>
      <c r="E10" s="50" t="s">
        <v>110</v>
      </c>
      <c r="F10" s="49" t="s">
        <v>83</v>
      </c>
      <c r="G10" s="50" t="s">
        <v>86</v>
      </c>
      <c r="H10" s="49" t="s">
        <v>89</v>
      </c>
      <c r="I10" s="51"/>
      <c r="J10" s="52"/>
      <c r="K10" s="53" t="s">
        <v>84</v>
      </c>
      <c r="L10" s="54">
        <v>0</v>
      </c>
      <c r="M10" s="55">
        <v>42736</v>
      </c>
      <c r="N10" s="55">
        <v>42795</v>
      </c>
      <c r="O10" s="54">
        <v>0</v>
      </c>
      <c r="P10" s="55">
        <v>32143</v>
      </c>
      <c r="Q10" s="55" t="s">
        <v>90</v>
      </c>
      <c r="R10" s="56">
        <v>56789</v>
      </c>
      <c r="S10" s="57" t="s">
        <v>83</v>
      </c>
      <c r="T10" s="57" t="s">
        <v>116</v>
      </c>
      <c r="U10" s="58">
        <v>1005</v>
      </c>
      <c r="V10" s="55">
        <v>36530</v>
      </c>
      <c r="W10" s="57" t="s">
        <v>83</v>
      </c>
      <c r="X10" s="76" t="s">
        <v>121</v>
      </c>
      <c r="Y10" s="76" t="s">
        <v>119</v>
      </c>
      <c r="Z10" s="52">
        <v>5</v>
      </c>
      <c r="AA10" s="52">
        <v>5</v>
      </c>
      <c r="AB10" s="52">
        <v>0</v>
      </c>
      <c r="AC10" s="52" t="s">
        <v>128</v>
      </c>
      <c r="AD10" s="52">
        <v>2005</v>
      </c>
      <c r="AE10" s="52" t="s">
        <v>83</v>
      </c>
      <c r="AF10" s="77" t="s">
        <v>133</v>
      </c>
      <c r="AG10" s="77" t="s">
        <v>110</v>
      </c>
      <c r="AH10" s="77" t="s">
        <v>139</v>
      </c>
      <c r="AI10" s="77" t="s">
        <v>83</v>
      </c>
      <c r="AJ10" s="59" t="s">
        <v>144</v>
      </c>
      <c r="AK10" s="59" t="s">
        <v>110</v>
      </c>
      <c r="AL10" s="59" t="s">
        <v>150</v>
      </c>
      <c r="AM10" s="77" t="s">
        <v>83</v>
      </c>
      <c r="AN10" s="78" t="s">
        <v>94</v>
      </c>
      <c r="AO10" s="59" t="str">
        <f t="shared" si="3"/>
        <v>TPB005</v>
      </c>
      <c r="AP10" s="59" t="str">
        <f t="shared" si="0"/>
        <v>Nguyễn Văn E</v>
      </c>
      <c r="AQ10" s="59" t="str">
        <f t="shared" si="1"/>
        <v>KHB</v>
      </c>
      <c r="AR10" s="77" t="str">
        <f t="shared" si="2"/>
        <v>HN</v>
      </c>
      <c r="AS10" s="77"/>
    </row>
    <row r="11" spans="1:45" x14ac:dyDescent="0.2">
      <c r="A11" s="51">
        <v>6</v>
      </c>
      <c r="B11" s="75" t="s">
        <v>100</v>
      </c>
      <c r="C11" s="18" t="s">
        <v>395</v>
      </c>
      <c r="D11" s="50" t="s">
        <v>198</v>
      </c>
      <c r="E11" s="50" t="s">
        <v>111</v>
      </c>
      <c r="F11" s="49" t="s">
        <v>43</v>
      </c>
      <c r="G11" s="50" t="s">
        <v>85</v>
      </c>
      <c r="H11" s="49" t="s">
        <v>204</v>
      </c>
      <c r="I11" s="51"/>
      <c r="J11" s="52"/>
      <c r="K11" s="53" t="s">
        <v>84</v>
      </c>
      <c r="L11" s="54">
        <v>0</v>
      </c>
      <c r="M11" s="55">
        <v>42736</v>
      </c>
      <c r="N11" s="55">
        <v>42795</v>
      </c>
      <c r="O11" s="54">
        <v>0</v>
      </c>
      <c r="P11" s="55">
        <v>32143</v>
      </c>
      <c r="Q11" s="55" t="s">
        <v>90</v>
      </c>
      <c r="R11" s="56">
        <v>6789</v>
      </c>
      <c r="S11" s="57" t="s">
        <v>83</v>
      </c>
      <c r="T11" s="57" t="s">
        <v>116</v>
      </c>
      <c r="U11" s="58">
        <v>1006</v>
      </c>
      <c r="V11" s="55">
        <v>36531</v>
      </c>
      <c r="W11" s="57" t="s">
        <v>83</v>
      </c>
      <c r="X11" s="76" t="s">
        <v>122</v>
      </c>
      <c r="Y11" s="76" t="s">
        <v>127</v>
      </c>
      <c r="Z11" s="52">
        <v>6</v>
      </c>
      <c r="AA11" s="52">
        <v>6</v>
      </c>
      <c r="AB11" s="52">
        <v>0</v>
      </c>
      <c r="AC11" s="52" t="s">
        <v>128</v>
      </c>
      <c r="AD11" s="52">
        <v>2006</v>
      </c>
      <c r="AE11" s="52" t="s">
        <v>83</v>
      </c>
      <c r="AF11" s="77" t="s">
        <v>134</v>
      </c>
      <c r="AG11" s="77" t="s">
        <v>111</v>
      </c>
      <c r="AH11" s="77" t="s">
        <v>139</v>
      </c>
      <c r="AI11" s="77" t="s">
        <v>83</v>
      </c>
      <c r="AJ11" s="59" t="s">
        <v>145</v>
      </c>
      <c r="AK11" s="59" t="s">
        <v>111</v>
      </c>
      <c r="AL11" s="59" t="s">
        <v>150</v>
      </c>
      <c r="AM11" s="77" t="s">
        <v>83</v>
      </c>
      <c r="AN11" s="78" t="s">
        <v>94</v>
      </c>
      <c r="AO11" s="59" t="str">
        <f t="shared" si="3"/>
        <v>TPB006</v>
      </c>
      <c r="AP11" s="59" t="str">
        <f t="shared" si="0"/>
        <v>Nguyễn Văn F</v>
      </c>
      <c r="AQ11" s="59" t="str">
        <f t="shared" si="1"/>
        <v>KHB</v>
      </c>
      <c r="AR11" s="77" t="str">
        <f t="shared" si="2"/>
        <v>HN</v>
      </c>
      <c r="AS11" s="77"/>
    </row>
    <row r="12" spans="1:45" x14ac:dyDescent="0.2">
      <c r="A12" s="51">
        <v>7</v>
      </c>
      <c r="B12" s="75" t="s">
        <v>101</v>
      </c>
      <c r="C12" s="18" t="s">
        <v>395</v>
      </c>
      <c r="D12" s="50" t="s">
        <v>199</v>
      </c>
      <c r="E12" s="50" t="s">
        <v>112</v>
      </c>
      <c r="F12" s="49" t="s">
        <v>43</v>
      </c>
      <c r="G12" s="50" t="s">
        <v>86</v>
      </c>
      <c r="H12" s="49" t="s">
        <v>88</v>
      </c>
      <c r="I12" s="51"/>
      <c r="J12" s="52"/>
      <c r="K12" s="53" t="s">
        <v>84</v>
      </c>
      <c r="L12" s="54">
        <v>0</v>
      </c>
      <c r="M12" s="55">
        <v>42736</v>
      </c>
      <c r="N12" s="55">
        <v>42795</v>
      </c>
      <c r="O12" s="54">
        <v>0</v>
      </c>
      <c r="P12" s="55">
        <v>32143</v>
      </c>
      <c r="Q12" s="55" t="s">
        <v>90</v>
      </c>
      <c r="R12" s="56">
        <v>789</v>
      </c>
      <c r="S12" s="57" t="s">
        <v>83</v>
      </c>
      <c r="T12" s="57" t="s">
        <v>116</v>
      </c>
      <c r="U12" s="58">
        <v>1007</v>
      </c>
      <c r="V12" s="55">
        <v>36532</v>
      </c>
      <c r="W12" s="57" t="s">
        <v>83</v>
      </c>
      <c r="X12" s="76" t="s">
        <v>123</v>
      </c>
      <c r="Y12" s="76" t="s">
        <v>122</v>
      </c>
      <c r="Z12" s="52">
        <v>7</v>
      </c>
      <c r="AA12" s="52">
        <v>7</v>
      </c>
      <c r="AB12" s="52">
        <v>0</v>
      </c>
      <c r="AC12" s="52" t="s">
        <v>128</v>
      </c>
      <c r="AD12" s="52">
        <v>2007</v>
      </c>
      <c r="AE12" s="52" t="s">
        <v>83</v>
      </c>
      <c r="AF12" s="77" t="s">
        <v>135</v>
      </c>
      <c r="AG12" s="77" t="s">
        <v>112</v>
      </c>
      <c r="AH12" s="77" t="s">
        <v>139</v>
      </c>
      <c r="AI12" s="77" t="s">
        <v>83</v>
      </c>
      <c r="AJ12" s="59" t="s">
        <v>146</v>
      </c>
      <c r="AK12" s="59" t="s">
        <v>112</v>
      </c>
      <c r="AL12" s="59" t="s">
        <v>150</v>
      </c>
      <c r="AM12" s="77" t="s">
        <v>83</v>
      </c>
      <c r="AN12" s="78" t="s">
        <v>94</v>
      </c>
      <c r="AO12" s="59" t="str">
        <f t="shared" si="3"/>
        <v>TPB007</v>
      </c>
      <c r="AP12" s="59" t="str">
        <f t="shared" si="0"/>
        <v>Nguyễn Văn G</v>
      </c>
      <c r="AQ12" s="59" t="str">
        <f t="shared" si="1"/>
        <v>KHB</v>
      </c>
      <c r="AR12" s="77" t="str">
        <f t="shared" si="2"/>
        <v>HN</v>
      </c>
      <c r="AS12" s="77"/>
    </row>
    <row r="13" spans="1:45" x14ac:dyDescent="0.2">
      <c r="A13" s="51">
        <v>8</v>
      </c>
      <c r="B13" s="75" t="s">
        <v>102</v>
      </c>
      <c r="C13" s="18" t="s">
        <v>395</v>
      </c>
      <c r="D13" s="50" t="s">
        <v>200</v>
      </c>
      <c r="E13" s="50" t="s">
        <v>107</v>
      </c>
      <c r="F13" s="49" t="s">
        <v>43</v>
      </c>
      <c r="G13" s="50" t="s">
        <v>86</v>
      </c>
      <c r="H13" s="49" t="s">
        <v>87</v>
      </c>
      <c r="I13" s="51"/>
      <c r="J13" s="52"/>
      <c r="K13" s="53" t="s">
        <v>84</v>
      </c>
      <c r="L13" s="54">
        <v>0</v>
      </c>
      <c r="M13" s="55">
        <v>42736</v>
      </c>
      <c r="N13" s="55">
        <v>42795</v>
      </c>
      <c r="O13" s="54">
        <v>0</v>
      </c>
      <c r="P13" s="55">
        <v>32143</v>
      </c>
      <c r="Q13" s="55" t="s">
        <v>90</v>
      </c>
      <c r="R13" s="56">
        <v>89</v>
      </c>
      <c r="S13" s="57" t="s">
        <v>83</v>
      </c>
      <c r="T13" s="57" t="s">
        <v>116</v>
      </c>
      <c r="U13" s="58">
        <v>1008</v>
      </c>
      <c r="V13" s="55">
        <v>36533</v>
      </c>
      <c r="W13" s="57" t="s">
        <v>83</v>
      </c>
      <c r="X13" s="76" t="s">
        <v>124</v>
      </c>
      <c r="Y13" s="76" t="s">
        <v>122</v>
      </c>
      <c r="Z13" s="52">
        <v>8</v>
      </c>
      <c r="AA13" s="52">
        <v>8</v>
      </c>
      <c r="AB13" s="52">
        <v>0</v>
      </c>
      <c r="AC13" s="52" t="s">
        <v>128</v>
      </c>
      <c r="AD13" s="52">
        <v>2008</v>
      </c>
      <c r="AE13" s="52" t="s">
        <v>83</v>
      </c>
      <c r="AF13" s="77" t="s">
        <v>136</v>
      </c>
      <c r="AG13" s="77" t="s">
        <v>107</v>
      </c>
      <c r="AH13" s="77" t="s">
        <v>139</v>
      </c>
      <c r="AI13" s="77" t="s">
        <v>83</v>
      </c>
      <c r="AJ13" s="59" t="s">
        <v>147</v>
      </c>
      <c r="AK13" s="59" t="s">
        <v>107</v>
      </c>
      <c r="AL13" s="59" t="s">
        <v>150</v>
      </c>
      <c r="AM13" s="77" t="s">
        <v>83</v>
      </c>
      <c r="AN13" s="78" t="s">
        <v>94</v>
      </c>
      <c r="AO13" s="59" t="str">
        <f t="shared" si="3"/>
        <v>TPB008</v>
      </c>
      <c r="AP13" s="59" t="str">
        <f t="shared" si="0"/>
        <v>Nguyễn Văn H</v>
      </c>
      <c r="AQ13" s="59" t="str">
        <f t="shared" si="1"/>
        <v>KHB</v>
      </c>
      <c r="AR13" s="77" t="str">
        <f t="shared" si="2"/>
        <v>HN</v>
      </c>
      <c r="AS13" s="77"/>
    </row>
    <row r="14" spans="1:45" x14ac:dyDescent="0.2">
      <c r="A14" s="51">
        <v>9</v>
      </c>
      <c r="B14" s="75" t="s">
        <v>103</v>
      </c>
      <c r="C14" s="18" t="s">
        <v>394</v>
      </c>
      <c r="D14" s="50" t="s">
        <v>201</v>
      </c>
      <c r="E14" s="50" t="s">
        <v>113</v>
      </c>
      <c r="F14" s="49" t="s">
        <v>83</v>
      </c>
      <c r="G14" s="50" t="s">
        <v>85</v>
      </c>
      <c r="H14" s="49" t="s">
        <v>205</v>
      </c>
      <c r="I14" s="51"/>
      <c r="J14" s="52"/>
      <c r="K14" s="53" t="s">
        <v>84</v>
      </c>
      <c r="L14" s="54">
        <v>0</v>
      </c>
      <c r="M14" s="55">
        <v>42736</v>
      </c>
      <c r="N14" s="55">
        <v>42795</v>
      </c>
      <c r="O14" s="54">
        <v>0</v>
      </c>
      <c r="P14" s="55">
        <v>32143</v>
      </c>
      <c r="Q14" s="55" t="s">
        <v>90</v>
      </c>
      <c r="R14" s="56">
        <v>9</v>
      </c>
      <c r="S14" s="57" t="s">
        <v>83</v>
      </c>
      <c r="T14" s="57" t="s">
        <v>116</v>
      </c>
      <c r="U14" s="58">
        <v>1009</v>
      </c>
      <c r="V14" s="55">
        <v>36534</v>
      </c>
      <c r="W14" s="57" t="s">
        <v>83</v>
      </c>
      <c r="X14" s="76" t="s">
        <v>125</v>
      </c>
      <c r="Y14" s="76" t="s">
        <v>127</v>
      </c>
      <c r="Z14" s="52">
        <v>9</v>
      </c>
      <c r="AA14" s="52">
        <v>9</v>
      </c>
      <c r="AB14" s="52">
        <v>0</v>
      </c>
      <c r="AC14" s="52" t="s">
        <v>128</v>
      </c>
      <c r="AD14" s="52">
        <v>2009</v>
      </c>
      <c r="AE14" s="52" t="s">
        <v>83</v>
      </c>
      <c r="AF14" s="77" t="s">
        <v>137</v>
      </c>
      <c r="AG14" s="77" t="s">
        <v>113</v>
      </c>
      <c r="AH14" s="77" t="s">
        <v>139</v>
      </c>
      <c r="AI14" s="77" t="s">
        <v>83</v>
      </c>
      <c r="AJ14" s="59" t="s">
        <v>148</v>
      </c>
      <c r="AK14" s="59" t="s">
        <v>113</v>
      </c>
      <c r="AL14" s="59" t="s">
        <v>150</v>
      </c>
      <c r="AM14" s="77" t="s">
        <v>83</v>
      </c>
      <c r="AN14" s="78" t="s">
        <v>94</v>
      </c>
      <c r="AO14" s="59" t="str">
        <f t="shared" si="3"/>
        <v>TPB009</v>
      </c>
      <c r="AP14" s="59" t="str">
        <f t="shared" si="0"/>
        <v>Nguyễn Văn I</v>
      </c>
      <c r="AQ14" s="59" t="str">
        <f t="shared" si="1"/>
        <v>KHB</v>
      </c>
      <c r="AR14" s="77" t="str">
        <f t="shared" si="2"/>
        <v>HN</v>
      </c>
      <c r="AS14" s="77"/>
    </row>
    <row r="15" spans="1:45" x14ac:dyDescent="0.2">
      <c r="A15" s="62">
        <v>10</v>
      </c>
      <c r="B15" s="79" t="s">
        <v>104</v>
      </c>
      <c r="C15" s="18" t="s">
        <v>394</v>
      </c>
      <c r="D15" s="61" t="s">
        <v>202</v>
      </c>
      <c r="E15" s="61" t="s">
        <v>114</v>
      </c>
      <c r="F15" s="60" t="s">
        <v>83</v>
      </c>
      <c r="G15" s="61" t="s">
        <v>86</v>
      </c>
      <c r="H15" s="60" t="s">
        <v>92</v>
      </c>
      <c r="I15" s="62"/>
      <c r="J15" s="63"/>
      <c r="K15" s="64" t="s">
        <v>84</v>
      </c>
      <c r="L15" s="65">
        <v>0</v>
      </c>
      <c r="M15" s="66">
        <v>42736</v>
      </c>
      <c r="N15" s="66">
        <v>42795</v>
      </c>
      <c r="O15" s="65">
        <v>0</v>
      </c>
      <c r="P15" s="66">
        <v>32143</v>
      </c>
      <c r="Q15" s="66" t="s">
        <v>90</v>
      </c>
      <c r="R15" s="67">
        <v>10</v>
      </c>
      <c r="S15" s="68" t="s">
        <v>83</v>
      </c>
      <c r="T15" s="68" t="s">
        <v>116</v>
      </c>
      <c r="U15" s="69">
        <v>1010</v>
      </c>
      <c r="V15" s="66">
        <v>36535</v>
      </c>
      <c r="W15" s="68" t="s">
        <v>83</v>
      </c>
      <c r="X15" s="80" t="s">
        <v>126</v>
      </c>
      <c r="Y15" s="80" t="s">
        <v>125</v>
      </c>
      <c r="Z15" s="63">
        <v>10</v>
      </c>
      <c r="AA15" s="63">
        <v>10</v>
      </c>
      <c r="AB15" s="63">
        <v>0</v>
      </c>
      <c r="AC15" s="63" t="s">
        <v>128</v>
      </c>
      <c r="AD15" s="63">
        <v>2010</v>
      </c>
      <c r="AE15" s="63" t="s">
        <v>83</v>
      </c>
      <c r="AF15" s="81" t="s">
        <v>138</v>
      </c>
      <c r="AG15" s="81" t="s">
        <v>114</v>
      </c>
      <c r="AH15" s="81" t="s">
        <v>139</v>
      </c>
      <c r="AI15" s="81" t="s">
        <v>83</v>
      </c>
      <c r="AJ15" s="70" t="s">
        <v>149</v>
      </c>
      <c r="AK15" s="82" t="s">
        <v>114</v>
      </c>
      <c r="AL15" s="70" t="s">
        <v>150</v>
      </c>
      <c r="AM15" s="81" t="s">
        <v>83</v>
      </c>
      <c r="AN15" s="82" t="s">
        <v>94</v>
      </c>
      <c r="AO15" s="70" t="str">
        <f t="shared" si="3"/>
        <v>TPB010</v>
      </c>
      <c r="AP15" s="82" t="str">
        <f t="shared" si="0"/>
        <v>Nguyễn Văn K</v>
      </c>
      <c r="AQ15" s="70" t="str">
        <f t="shared" si="1"/>
        <v>KHB</v>
      </c>
      <c r="AR15" s="81" t="str">
        <f t="shared" si="2"/>
        <v>HN</v>
      </c>
      <c r="AS15" s="81"/>
    </row>
  </sheetData>
  <mergeCells count="25">
    <mergeCell ref="U3:U4"/>
    <mergeCell ref="V3:V4"/>
    <mergeCell ref="W3:W4"/>
    <mergeCell ref="X3:X4"/>
    <mergeCell ref="AN3:AS3"/>
    <mergeCell ref="Z3:AC3"/>
    <mergeCell ref="AD3:AE3"/>
    <mergeCell ref="AF3:AI3"/>
    <mergeCell ref="AJ3:AM3"/>
    <mergeCell ref="Y3:Y4"/>
    <mergeCell ref="T3:T4"/>
    <mergeCell ref="S3:S4"/>
    <mergeCell ref="A3:A5"/>
    <mergeCell ref="B3:B4"/>
    <mergeCell ref="C3:C4"/>
    <mergeCell ref="D3:D4"/>
    <mergeCell ref="E3:E4"/>
    <mergeCell ref="F3:F4"/>
    <mergeCell ref="G3:G4"/>
    <mergeCell ref="H3:J3"/>
    <mergeCell ref="K3:K4"/>
    <mergeCell ref="L3:O3"/>
    <mergeCell ref="P3:P4"/>
    <mergeCell ref="Q3:Q4"/>
    <mergeCell ref="R3:R4"/>
  </mergeCells>
  <hyperlinks>
    <hyperlink ref="X6" r:id="rId1"/>
    <hyperlink ref="X7" r:id="rId2"/>
    <hyperlink ref="X8" r:id="rId3"/>
    <hyperlink ref="X9" r:id="rId4"/>
    <hyperlink ref="X10" r:id="rId5"/>
    <hyperlink ref="X11" r:id="rId6"/>
    <hyperlink ref="X12" r:id="rId7"/>
    <hyperlink ref="X13" r:id="rId8"/>
    <hyperlink ref="X14" r:id="rId9"/>
    <hyperlink ref="X15" r:id="rId10"/>
    <hyperlink ref="Y6" r:id="rId11"/>
    <hyperlink ref="Y7" r:id="rId12"/>
    <hyperlink ref="Y8" r:id="rId13"/>
    <hyperlink ref="Y11" r:id="rId14"/>
    <hyperlink ref="Y14" r:id="rId15"/>
    <hyperlink ref="Y9" r:id="rId16"/>
    <hyperlink ref="Y10" r:id="rId17"/>
    <hyperlink ref="Y12" r:id="rId18"/>
    <hyperlink ref="Y13" r:id="rId19"/>
    <hyperlink ref="Y15" r:id="rId20"/>
  </hyperlinks>
  <pageMargins left="0.7" right="0.7" top="0.75" bottom="0.75" header="0.3" footer="0.3"/>
  <pageSetup paperSize="9" orientation="portrait" verticalDpi="0" r:id="rId2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G15"/>
  <sheetViews>
    <sheetView tabSelected="1" topLeftCell="AQ1" zoomScale="85" zoomScaleNormal="85" workbookViewId="0">
      <selection activeCell="AR4" sqref="AR4"/>
    </sheetView>
  </sheetViews>
  <sheetFormatPr defaultRowHeight="12.75" x14ac:dyDescent="0.2"/>
  <cols>
    <col min="1" max="1" width="5" style="27" customWidth="1"/>
    <col min="2" max="2" width="8.140625" style="27" customWidth="1"/>
    <col min="3" max="3" width="7.5703125" style="27" bestFit="1" customWidth="1"/>
    <col min="4" max="5" width="13.28515625" style="27" customWidth="1"/>
    <col min="6" max="6" width="6.28515625" style="27" customWidth="1"/>
    <col min="7" max="7" width="11.85546875" style="27" customWidth="1"/>
    <col min="8" max="8" width="8.5703125" style="27" bestFit="1" customWidth="1"/>
    <col min="9" max="9" width="8.28515625" style="27" bestFit="1" customWidth="1"/>
    <col min="10" max="11" width="15.140625" style="27" customWidth="1"/>
    <col min="12" max="14" width="12.7109375" style="27" customWidth="1"/>
    <col min="15" max="15" width="15" style="27" customWidth="1"/>
    <col min="16" max="18" width="8.85546875" style="27" customWidth="1"/>
    <col min="19" max="21" width="12.7109375" style="27" customWidth="1"/>
    <col min="22" max="22" width="19.7109375" style="27" bestFit="1" customWidth="1"/>
    <col min="23" max="23" width="7.7109375" style="27" bestFit="1" customWidth="1"/>
    <col min="24" max="24" width="7.7109375" style="27" customWidth="1"/>
    <col min="25" max="25" width="10.140625" style="27" customWidth="1"/>
    <col min="26" max="26" width="17.42578125" style="27" customWidth="1"/>
    <col min="27" max="29" width="8.85546875" style="27" customWidth="1"/>
    <col min="30" max="33" width="10.85546875" style="27" customWidth="1"/>
    <col min="34" max="37" width="11.140625" style="27" customWidth="1"/>
    <col min="38" max="39" width="10.85546875" style="27" customWidth="1"/>
    <col min="40" max="40" width="11.7109375" style="27" customWidth="1"/>
    <col min="41" max="41" width="13.28515625" style="27" customWidth="1"/>
    <col min="42" max="42" width="13.85546875" style="27" customWidth="1"/>
    <col min="43" max="54" width="14.140625" style="27" customWidth="1"/>
    <col min="55" max="57" width="13.85546875" style="27" customWidth="1"/>
    <col min="58" max="58" width="10" style="27" customWidth="1"/>
    <col min="59" max="59" width="31.7109375" style="27" bestFit="1" customWidth="1"/>
    <col min="60" max="16384" width="9.140625" style="27"/>
  </cols>
  <sheetData>
    <row r="1" spans="1:59" x14ac:dyDescent="0.2">
      <c r="A1" s="28" t="s">
        <v>151</v>
      </c>
      <c r="B1" s="28"/>
      <c r="C1" s="29"/>
      <c r="D1" s="30">
        <v>22.5</v>
      </c>
      <c r="E1" s="20"/>
      <c r="F1" s="20"/>
      <c r="G1" s="21"/>
      <c r="H1" s="21"/>
      <c r="I1" s="21"/>
      <c r="J1" s="21"/>
      <c r="K1" s="21"/>
      <c r="L1" s="22"/>
      <c r="M1" s="22"/>
      <c r="N1" s="22"/>
      <c r="O1" s="23"/>
      <c r="P1" s="100" t="s">
        <v>217</v>
      </c>
      <c r="Q1" s="100" t="s">
        <v>217</v>
      </c>
      <c r="R1" s="100" t="s">
        <v>217</v>
      </c>
      <c r="S1" s="22"/>
      <c r="T1" s="22"/>
      <c r="U1" s="22"/>
      <c r="V1" s="24"/>
      <c r="W1" s="25"/>
      <c r="X1" s="25"/>
      <c r="Y1" s="25"/>
      <c r="Z1" s="22"/>
      <c r="AA1" s="100" t="s">
        <v>217</v>
      </c>
      <c r="AB1" s="100" t="s">
        <v>217</v>
      </c>
      <c r="AC1" s="100" t="s">
        <v>217</v>
      </c>
      <c r="AD1" s="22"/>
      <c r="AE1" s="22"/>
      <c r="AF1" s="22"/>
      <c r="AG1" s="22"/>
      <c r="AH1" s="22"/>
      <c r="AI1" s="22"/>
      <c r="AJ1" s="22"/>
      <c r="AK1" s="22"/>
      <c r="AL1" s="22"/>
      <c r="AM1" s="22"/>
      <c r="AN1" s="22"/>
      <c r="AO1" s="22"/>
      <c r="AP1" s="22"/>
      <c r="AQ1" s="22"/>
      <c r="AR1" s="22"/>
      <c r="AS1" s="22"/>
      <c r="AT1" s="22"/>
      <c r="AU1" s="22"/>
      <c r="AV1" s="22"/>
      <c r="AW1" s="22"/>
      <c r="AX1" s="22"/>
      <c r="AY1" s="22"/>
      <c r="AZ1" s="22"/>
      <c r="BA1" s="22"/>
      <c r="BB1" s="22"/>
      <c r="BC1" s="22"/>
      <c r="BD1" s="22"/>
      <c r="BE1" s="22"/>
      <c r="BF1" s="22"/>
      <c r="BG1" s="26"/>
    </row>
    <row r="2" spans="1:59" ht="12.75" customHeight="1" x14ac:dyDescent="0.2">
      <c r="A2" s="312" t="s">
        <v>44</v>
      </c>
      <c r="B2" s="312" t="s">
        <v>152</v>
      </c>
      <c r="C2" s="312" t="s">
        <v>153</v>
      </c>
      <c r="D2" s="312" t="s">
        <v>154</v>
      </c>
      <c r="E2" s="312" t="s">
        <v>155</v>
      </c>
      <c r="F2" s="312" t="s">
        <v>4</v>
      </c>
      <c r="G2" s="312" t="s">
        <v>156</v>
      </c>
      <c r="H2" s="312" t="s">
        <v>157</v>
      </c>
      <c r="I2" s="312" t="s">
        <v>158</v>
      </c>
      <c r="J2" s="333" t="s">
        <v>159</v>
      </c>
      <c r="K2" s="333" t="s">
        <v>59</v>
      </c>
      <c r="L2" s="322" t="s">
        <v>160</v>
      </c>
      <c r="M2" s="323"/>
      <c r="N2" s="323"/>
      <c r="O2" s="324"/>
      <c r="P2" s="325" t="s">
        <v>162</v>
      </c>
      <c r="Q2" s="325"/>
      <c r="R2" s="325"/>
      <c r="S2" s="322" t="s">
        <v>161</v>
      </c>
      <c r="T2" s="323"/>
      <c r="U2" s="323"/>
      <c r="V2" s="324"/>
      <c r="W2" s="325" t="s">
        <v>164</v>
      </c>
      <c r="X2" s="325"/>
      <c r="Y2" s="325"/>
      <c r="Z2" s="325"/>
      <c r="AA2" s="325" t="s">
        <v>225</v>
      </c>
      <c r="AB2" s="325"/>
      <c r="AC2" s="325"/>
      <c r="AD2" s="325" t="s">
        <v>163</v>
      </c>
      <c r="AE2" s="325"/>
      <c r="AF2" s="325" t="s">
        <v>318</v>
      </c>
      <c r="AG2" s="325"/>
      <c r="AH2" s="325" t="s">
        <v>319</v>
      </c>
      <c r="AI2" s="325"/>
      <c r="AJ2" s="325"/>
      <c r="AK2" s="325"/>
      <c r="AL2" s="322" t="s">
        <v>214</v>
      </c>
      <c r="AM2" s="323"/>
      <c r="AN2" s="323"/>
      <c r="AO2" s="323"/>
      <c r="AP2" s="324"/>
      <c r="AQ2" s="325" t="s">
        <v>167</v>
      </c>
      <c r="AR2" s="325"/>
      <c r="AS2" s="325"/>
      <c r="AT2" s="325" t="s">
        <v>168</v>
      </c>
      <c r="AU2" s="325"/>
      <c r="AV2" s="325"/>
      <c r="AW2" s="325" t="s">
        <v>169</v>
      </c>
      <c r="AX2" s="325"/>
      <c r="AY2" s="325"/>
      <c r="AZ2" s="325" t="s">
        <v>170</v>
      </c>
      <c r="BA2" s="325"/>
      <c r="BB2" s="325"/>
      <c r="BC2" s="317" t="s">
        <v>171</v>
      </c>
      <c r="BD2" s="317" t="s">
        <v>172</v>
      </c>
      <c r="BE2" s="317" t="s">
        <v>33</v>
      </c>
      <c r="BF2" s="317" t="s">
        <v>317</v>
      </c>
      <c r="BG2" s="329" t="s">
        <v>173</v>
      </c>
    </row>
    <row r="3" spans="1:59" ht="23.25" customHeight="1" x14ac:dyDescent="0.2">
      <c r="A3" s="313"/>
      <c r="B3" s="313"/>
      <c r="C3" s="313"/>
      <c r="D3" s="313"/>
      <c r="E3" s="313"/>
      <c r="F3" s="313"/>
      <c r="G3" s="313"/>
      <c r="H3" s="313"/>
      <c r="I3" s="313"/>
      <c r="J3" s="334"/>
      <c r="K3" s="334"/>
      <c r="L3" s="325" t="s">
        <v>174</v>
      </c>
      <c r="M3" s="325" t="s">
        <v>175</v>
      </c>
      <c r="N3" s="332" t="s">
        <v>176</v>
      </c>
      <c r="O3" s="332" t="s">
        <v>177</v>
      </c>
      <c r="P3" s="326" t="s">
        <v>178</v>
      </c>
      <c r="Q3" s="326"/>
      <c r="R3" s="327" t="s">
        <v>179</v>
      </c>
      <c r="S3" s="325" t="s">
        <v>174</v>
      </c>
      <c r="T3" s="325" t="s">
        <v>175</v>
      </c>
      <c r="U3" s="332" t="s">
        <v>176</v>
      </c>
      <c r="V3" s="332" t="s">
        <v>177</v>
      </c>
      <c r="W3" s="315" t="s">
        <v>210</v>
      </c>
      <c r="X3" s="315" t="s">
        <v>209</v>
      </c>
      <c r="Y3" s="317" t="s">
        <v>64</v>
      </c>
      <c r="Z3" s="317" t="s">
        <v>211</v>
      </c>
      <c r="AA3" s="326" t="s">
        <v>178</v>
      </c>
      <c r="AB3" s="326"/>
      <c r="AC3" s="327" t="s">
        <v>179</v>
      </c>
      <c r="AD3" s="317" t="s">
        <v>180</v>
      </c>
      <c r="AE3" s="317" t="s">
        <v>235</v>
      </c>
      <c r="AF3" s="317" t="s">
        <v>180</v>
      </c>
      <c r="AG3" s="317" t="s">
        <v>235</v>
      </c>
      <c r="AH3" s="325" t="s">
        <v>182</v>
      </c>
      <c r="AI3" s="325" t="s">
        <v>183</v>
      </c>
      <c r="AJ3" s="325" t="s">
        <v>184</v>
      </c>
      <c r="AK3" s="317" t="s">
        <v>185</v>
      </c>
      <c r="AL3" s="319" t="s">
        <v>165</v>
      </c>
      <c r="AM3" s="320"/>
      <c r="AN3" s="322" t="s">
        <v>213</v>
      </c>
      <c r="AO3" s="324"/>
      <c r="AP3" s="321" t="s">
        <v>166</v>
      </c>
      <c r="AQ3" s="13" t="s">
        <v>188</v>
      </c>
      <c r="AR3" s="13" t="s">
        <v>189</v>
      </c>
      <c r="AS3" s="317" t="s">
        <v>179</v>
      </c>
      <c r="AT3" s="13" t="s">
        <v>188</v>
      </c>
      <c r="AU3" s="13" t="s">
        <v>189</v>
      </c>
      <c r="AV3" s="317" t="s">
        <v>179</v>
      </c>
      <c r="AW3" s="13" t="s">
        <v>188</v>
      </c>
      <c r="AX3" s="13" t="s">
        <v>189</v>
      </c>
      <c r="AY3" s="317" t="s">
        <v>179</v>
      </c>
      <c r="AZ3" s="13" t="s">
        <v>188</v>
      </c>
      <c r="BA3" s="13" t="s">
        <v>189</v>
      </c>
      <c r="BB3" s="317" t="s">
        <v>179</v>
      </c>
      <c r="BC3" s="321"/>
      <c r="BD3" s="321"/>
      <c r="BE3" s="321"/>
      <c r="BF3" s="321"/>
      <c r="BG3" s="330"/>
    </row>
    <row r="4" spans="1:59" ht="38.25" x14ac:dyDescent="0.2">
      <c r="A4" s="314"/>
      <c r="B4" s="314"/>
      <c r="C4" s="314" t="s">
        <v>2</v>
      </c>
      <c r="D4" s="314" t="s">
        <v>46</v>
      </c>
      <c r="E4" s="314" t="s">
        <v>47</v>
      </c>
      <c r="F4" s="314" t="s">
        <v>4</v>
      </c>
      <c r="G4" s="314" t="s">
        <v>5</v>
      </c>
      <c r="H4" s="314" t="s">
        <v>6</v>
      </c>
      <c r="I4" s="314" t="s">
        <v>65</v>
      </c>
      <c r="J4" s="335" t="s">
        <v>59</v>
      </c>
      <c r="K4" s="335" t="s">
        <v>59</v>
      </c>
      <c r="L4" s="325"/>
      <c r="M4" s="325"/>
      <c r="N4" s="332"/>
      <c r="O4" s="332"/>
      <c r="P4" s="15" t="s">
        <v>190</v>
      </c>
      <c r="Q4" s="15" t="s">
        <v>191</v>
      </c>
      <c r="R4" s="328"/>
      <c r="S4" s="325"/>
      <c r="T4" s="325"/>
      <c r="U4" s="332"/>
      <c r="V4" s="332"/>
      <c r="W4" s="316"/>
      <c r="X4" s="316"/>
      <c r="Y4" s="318"/>
      <c r="Z4" s="318"/>
      <c r="AA4" s="15" t="s">
        <v>190</v>
      </c>
      <c r="AB4" s="15" t="s">
        <v>191</v>
      </c>
      <c r="AC4" s="328"/>
      <c r="AD4" s="318"/>
      <c r="AE4" s="318"/>
      <c r="AF4" s="318"/>
      <c r="AG4" s="318"/>
      <c r="AH4" s="325" t="s">
        <v>192</v>
      </c>
      <c r="AI4" s="325" t="s">
        <v>192</v>
      </c>
      <c r="AJ4" s="325" t="s">
        <v>184</v>
      </c>
      <c r="AK4" s="318"/>
      <c r="AL4" s="13" t="s">
        <v>186</v>
      </c>
      <c r="AM4" s="12" t="s">
        <v>187</v>
      </c>
      <c r="AN4" s="85" t="s">
        <v>181</v>
      </c>
      <c r="AO4" s="85" t="s">
        <v>215</v>
      </c>
      <c r="AP4" s="318"/>
      <c r="AQ4" s="16">
        <v>0.08</v>
      </c>
      <c r="AR4" s="17">
        <v>0.17499999999999999</v>
      </c>
      <c r="AS4" s="318"/>
      <c r="AT4" s="17">
        <v>1.4999999999999999E-2</v>
      </c>
      <c r="AU4" s="16">
        <v>0.03</v>
      </c>
      <c r="AV4" s="318"/>
      <c r="AW4" s="16">
        <v>0.01</v>
      </c>
      <c r="AX4" s="16">
        <v>0.01</v>
      </c>
      <c r="AY4" s="318"/>
      <c r="AZ4" s="16">
        <v>0.01</v>
      </c>
      <c r="BA4" s="16">
        <v>0.02</v>
      </c>
      <c r="BB4" s="318"/>
      <c r="BC4" s="318"/>
      <c r="BD4" s="318"/>
      <c r="BE4" s="318"/>
      <c r="BF4" s="318"/>
      <c r="BG4" s="331"/>
    </row>
    <row r="5" spans="1:59" x14ac:dyDescent="0.2">
      <c r="A5" s="31" t="s">
        <v>219</v>
      </c>
      <c r="B5" s="31">
        <v>1</v>
      </c>
      <c r="C5" s="31">
        <v>2</v>
      </c>
      <c r="D5" s="31">
        <v>3</v>
      </c>
      <c r="E5" s="31">
        <v>4</v>
      </c>
      <c r="F5" s="31">
        <v>5</v>
      </c>
      <c r="G5" s="31">
        <v>6</v>
      </c>
      <c r="H5" s="31">
        <v>7</v>
      </c>
      <c r="I5" s="31">
        <v>8</v>
      </c>
      <c r="J5" s="31">
        <v>9</v>
      </c>
      <c r="K5" s="31">
        <v>10</v>
      </c>
      <c r="L5" s="31">
        <v>11</v>
      </c>
      <c r="M5" s="31">
        <v>12</v>
      </c>
      <c r="N5" s="31">
        <v>13</v>
      </c>
      <c r="O5" s="31">
        <v>14</v>
      </c>
      <c r="P5" s="31">
        <v>15</v>
      </c>
      <c r="Q5" s="31">
        <v>16</v>
      </c>
      <c r="R5" s="31">
        <v>17</v>
      </c>
      <c r="S5" s="31">
        <v>18</v>
      </c>
      <c r="T5" s="31">
        <v>19</v>
      </c>
      <c r="U5" s="31">
        <v>20</v>
      </c>
      <c r="V5" s="31">
        <v>21</v>
      </c>
      <c r="W5" s="31">
        <v>22</v>
      </c>
      <c r="X5" s="31">
        <v>23</v>
      </c>
      <c r="Y5" s="31">
        <v>24</v>
      </c>
      <c r="Z5" s="31">
        <v>25</v>
      </c>
      <c r="AA5" s="31">
        <v>26</v>
      </c>
      <c r="AB5" s="31">
        <v>27</v>
      </c>
      <c r="AC5" s="31">
        <v>28</v>
      </c>
      <c r="AD5" s="31">
        <v>29</v>
      </c>
      <c r="AE5" s="31">
        <v>30</v>
      </c>
      <c r="AF5" s="31">
        <v>31</v>
      </c>
      <c r="AG5" s="31">
        <v>32</v>
      </c>
      <c r="AH5" s="31">
        <v>33</v>
      </c>
      <c r="AI5" s="31">
        <v>34</v>
      </c>
      <c r="AJ5" s="31">
        <v>35</v>
      </c>
      <c r="AK5" s="31">
        <v>36</v>
      </c>
      <c r="AL5" s="31">
        <v>37</v>
      </c>
      <c r="AM5" s="31">
        <v>38</v>
      </c>
      <c r="AN5" s="31">
        <v>39</v>
      </c>
      <c r="AO5" s="31">
        <v>40</v>
      </c>
      <c r="AP5" s="31">
        <v>41</v>
      </c>
      <c r="AQ5" s="31">
        <v>42</v>
      </c>
      <c r="AR5" s="31">
        <v>43</v>
      </c>
      <c r="AS5" s="31">
        <v>44</v>
      </c>
      <c r="AT5" s="31">
        <v>45</v>
      </c>
      <c r="AU5" s="31">
        <v>46</v>
      </c>
      <c r="AV5" s="31">
        <v>47</v>
      </c>
      <c r="AW5" s="31">
        <v>48</v>
      </c>
      <c r="AX5" s="31">
        <v>49</v>
      </c>
      <c r="AY5" s="31">
        <v>50</v>
      </c>
      <c r="AZ5" s="31">
        <v>51</v>
      </c>
      <c r="BA5" s="31">
        <v>52</v>
      </c>
      <c r="BB5" s="31">
        <v>53</v>
      </c>
      <c r="BC5" s="31">
        <v>54</v>
      </c>
      <c r="BD5" s="31">
        <v>55</v>
      </c>
      <c r="BE5" s="31">
        <v>56</v>
      </c>
      <c r="BF5" s="31">
        <v>57</v>
      </c>
      <c r="BG5" s="31">
        <v>58</v>
      </c>
    </row>
    <row r="6" spans="1:59" x14ac:dyDescent="0.2">
      <c r="A6" s="14">
        <v>1</v>
      </c>
      <c r="B6" s="32" t="s">
        <v>95</v>
      </c>
      <c r="C6" s="18" t="s">
        <v>392</v>
      </c>
      <c r="D6" s="19" t="s">
        <v>193</v>
      </c>
      <c r="E6" s="19" t="s">
        <v>105</v>
      </c>
      <c r="F6" s="18" t="s">
        <v>83</v>
      </c>
      <c r="G6" s="19" t="s">
        <v>85</v>
      </c>
      <c r="H6" s="18" t="s">
        <v>115</v>
      </c>
      <c r="I6" s="33" t="s">
        <v>84</v>
      </c>
      <c r="J6" s="34" t="s">
        <v>117</v>
      </c>
      <c r="K6" s="34" t="s">
        <v>127</v>
      </c>
      <c r="L6" s="35">
        <v>1000000</v>
      </c>
      <c r="M6" s="36">
        <v>5000000</v>
      </c>
      <c r="N6" s="41">
        <v>42919</v>
      </c>
      <c r="O6" s="42" t="s">
        <v>206</v>
      </c>
      <c r="P6" s="38">
        <v>4</v>
      </c>
      <c r="Q6" s="38">
        <v>18.5</v>
      </c>
      <c r="R6" s="39">
        <v>20.5</v>
      </c>
      <c r="S6" s="37">
        <v>1000000</v>
      </c>
      <c r="T6" s="36">
        <v>0</v>
      </c>
      <c r="U6" s="36">
        <v>0</v>
      </c>
      <c r="V6" s="36">
        <v>0</v>
      </c>
      <c r="W6" s="40">
        <v>0.01</v>
      </c>
      <c r="X6" s="40">
        <v>0.02</v>
      </c>
      <c r="Y6" s="84">
        <v>42917</v>
      </c>
      <c r="Z6" s="42" t="s">
        <v>212</v>
      </c>
      <c r="AA6" s="38">
        <v>2</v>
      </c>
      <c r="AB6" s="38">
        <v>20.5</v>
      </c>
      <c r="AC6" s="39">
        <f>SUM(AA6:AB6)</f>
        <v>22.5</v>
      </c>
      <c r="AD6" s="37">
        <v>200000</v>
      </c>
      <c r="AE6" s="106">
        <v>15</v>
      </c>
      <c r="AF6" s="37">
        <v>200000</v>
      </c>
      <c r="AG6" s="106">
        <v>15</v>
      </c>
      <c r="AH6" s="37">
        <v>0</v>
      </c>
      <c r="AI6" s="37">
        <v>0</v>
      </c>
      <c r="AJ6" s="37">
        <v>500000</v>
      </c>
      <c r="AK6" s="37">
        <v>500000</v>
      </c>
      <c r="AL6" s="37">
        <v>16</v>
      </c>
      <c r="AM6" s="37">
        <v>0</v>
      </c>
      <c r="AN6" s="37">
        <v>0</v>
      </c>
      <c r="AO6" s="37">
        <v>0</v>
      </c>
      <c r="AP6" s="37">
        <f>SUM(AM6:AN6)</f>
        <v>0</v>
      </c>
      <c r="AQ6" s="37">
        <v>520000</v>
      </c>
      <c r="AR6" s="37">
        <v>1170000</v>
      </c>
      <c r="AS6" s="37">
        <v>1690000</v>
      </c>
      <c r="AT6" s="37">
        <v>97500</v>
      </c>
      <c r="AU6" s="37">
        <v>195000</v>
      </c>
      <c r="AV6" s="37">
        <v>292500</v>
      </c>
      <c r="AW6" s="37">
        <v>65000</v>
      </c>
      <c r="AX6" s="37">
        <v>65000</v>
      </c>
      <c r="AY6" s="37">
        <v>130000</v>
      </c>
      <c r="AZ6" s="37">
        <v>65000</v>
      </c>
      <c r="BA6" s="37">
        <v>130000</v>
      </c>
      <c r="BB6" s="37">
        <v>195000</v>
      </c>
      <c r="BC6" s="37">
        <f>SUM(AQ6,AT6,AW6,AZ6)</f>
        <v>747500</v>
      </c>
      <c r="BD6" s="37">
        <f>SUM(AR6,AU6,AX6,BA6)</f>
        <v>1560000</v>
      </c>
      <c r="BE6" s="35">
        <v>0</v>
      </c>
      <c r="BF6" s="35" t="s">
        <v>221</v>
      </c>
      <c r="BG6" s="37"/>
    </row>
    <row r="7" spans="1:59" x14ac:dyDescent="0.2">
      <c r="A7" s="14">
        <v>2</v>
      </c>
      <c r="B7" s="32" t="s">
        <v>96</v>
      </c>
      <c r="C7" s="18" t="s">
        <v>392</v>
      </c>
      <c r="D7" s="19" t="s">
        <v>194</v>
      </c>
      <c r="E7" s="19" t="s">
        <v>106</v>
      </c>
      <c r="F7" s="18" t="s">
        <v>83</v>
      </c>
      <c r="G7" s="19" t="s">
        <v>86</v>
      </c>
      <c r="H7" s="18" t="s">
        <v>92</v>
      </c>
      <c r="I7" s="33" t="s">
        <v>84</v>
      </c>
      <c r="J7" s="34" t="s">
        <v>118</v>
      </c>
      <c r="K7" s="34" t="s">
        <v>117</v>
      </c>
      <c r="L7" s="35">
        <v>2000000</v>
      </c>
      <c r="M7" s="36">
        <v>0</v>
      </c>
      <c r="N7" s="36">
        <v>0</v>
      </c>
      <c r="O7" s="36">
        <v>0</v>
      </c>
      <c r="P7" s="38">
        <v>22.5</v>
      </c>
      <c r="Q7" s="38"/>
      <c r="R7" s="39">
        <v>20.5</v>
      </c>
      <c r="S7" s="37">
        <v>2000000</v>
      </c>
      <c r="T7" s="36">
        <v>0</v>
      </c>
      <c r="U7" s="36">
        <v>0</v>
      </c>
      <c r="V7" s="36">
        <v>0</v>
      </c>
      <c r="W7" s="40">
        <v>0.02</v>
      </c>
      <c r="X7" s="36">
        <v>0</v>
      </c>
      <c r="Y7" s="36">
        <v>0</v>
      </c>
      <c r="Z7" s="36">
        <v>0</v>
      </c>
      <c r="AA7" s="38">
        <v>22.5</v>
      </c>
      <c r="AB7" s="38"/>
      <c r="AC7" s="39">
        <f t="shared" ref="AC7:AC15" si="0">SUM(AA7:AB7)</f>
        <v>22.5</v>
      </c>
      <c r="AD7" s="37">
        <v>200000</v>
      </c>
      <c r="AE7" s="106">
        <v>15</v>
      </c>
      <c r="AF7" s="37">
        <v>200000</v>
      </c>
      <c r="AG7" s="106">
        <v>15</v>
      </c>
      <c r="AH7" s="37">
        <v>0</v>
      </c>
      <c r="AI7" s="37">
        <v>0</v>
      </c>
      <c r="AJ7" s="37">
        <v>500000</v>
      </c>
      <c r="AK7" s="37">
        <v>500000</v>
      </c>
      <c r="AL7" s="37">
        <v>0</v>
      </c>
      <c r="AM7" s="37">
        <v>0</v>
      </c>
      <c r="AN7" s="37">
        <v>1000000</v>
      </c>
      <c r="AO7" s="37" t="s">
        <v>269</v>
      </c>
      <c r="AP7" s="37">
        <f t="shared" ref="AP7:AP15" si="1">SUM(AM7:AN7)</f>
        <v>1000000</v>
      </c>
      <c r="AQ7" s="37">
        <v>376000</v>
      </c>
      <c r="AR7" s="37">
        <v>846000</v>
      </c>
      <c r="AS7" s="37">
        <v>1222000</v>
      </c>
      <c r="AT7" s="37">
        <v>70500</v>
      </c>
      <c r="AU7" s="37">
        <v>141000</v>
      </c>
      <c r="AV7" s="37">
        <v>211500</v>
      </c>
      <c r="AW7" s="37">
        <v>47000</v>
      </c>
      <c r="AX7" s="37">
        <v>47000</v>
      </c>
      <c r="AY7" s="37">
        <v>94000</v>
      </c>
      <c r="AZ7" s="37">
        <v>47000</v>
      </c>
      <c r="BA7" s="37">
        <v>94000</v>
      </c>
      <c r="BB7" s="37">
        <v>141000</v>
      </c>
      <c r="BC7" s="37">
        <f t="shared" ref="BC7:BC15" si="2">SUM(AQ7,AT7,AW7,AZ7)</f>
        <v>540500</v>
      </c>
      <c r="BD7" s="37">
        <f t="shared" ref="BD7:BD15" si="3">SUM(AR7,AU7,AX7,BA7)</f>
        <v>1128000</v>
      </c>
      <c r="BE7" s="35">
        <v>0</v>
      </c>
      <c r="BF7" s="35" t="s">
        <v>220</v>
      </c>
      <c r="BG7" s="37"/>
    </row>
    <row r="8" spans="1:59" x14ac:dyDescent="0.2">
      <c r="A8" s="14">
        <v>3</v>
      </c>
      <c r="B8" s="32" t="s">
        <v>97</v>
      </c>
      <c r="C8" s="18" t="s">
        <v>393</v>
      </c>
      <c r="D8" s="19" t="s">
        <v>195</v>
      </c>
      <c r="E8" s="19" t="s">
        <v>108</v>
      </c>
      <c r="F8" s="18" t="s">
        <v>83</v>
      </c>
      <c r="G8" s="19" t="s">
        <v>85</v>
      </c>
      <c r="H8" s="18" t="s">
        <v>203</v>
      </c>
      <c r="I8" s="33" t="s">
        <v>84</v>
      </c>
      <c r="J8" s="34" t="s">
        <v>119</v>
      </c>
      <c r="K8" s="34" t="s">
        <v>127</v>
      </c>
      <c r="L8" s="35">
        <v>3000000</v>
      </c>
      <c r="M8" s="36">
        <v>0</v>
      </c>
      <c r="N8" s="36">
        <v>0</v>
      </c>
      <c r="O8" s="36">
        <v>0</v>
      </c>
      <c r="P8" s="38">
        <v>22.5</v>
      </c>
      <c r="Q8" s="38"/>
      <c r="R8" s="39">
        <v>20.5</v>
      </c>
      <c r="S8" s="37">
        <v>3000000</v>
      </c>
      <c r="T8" s="36">
        <v>0</v>
      </c>
      <c r="U8" s="36">
        <v>0</v>
      </c>
      <c r="V8" s="36">
        <v>0</v>
      </c>
      <c r="W8" s="40">
        <v>0.03</v>
      </c>
      <c r="X8" s="36">
        <v>0</v>
      </c>
      <c r="Y8" s="36">
        <v>0</v>
      </c>
      <c r="Z8" s="36">
        <v>0</v>
      </c>
      <c r="AA8" s="38">
        <v>22.5</v>
      </c>
      <c r="AB8" s="38"/>
      <c r="AC8" s="39">
        <f t="shared" si="0"/>
        <v>22.5</v>
      </c>
      <c r="AD8" s="37">
        <v>200000</v>
      </c>
      <c r="AE8" s="106">
        <v>15</v>
      </c>
      <c r="AF8" s="37">
        <v>200000</v>
      </c>
      <c r="AG8" s="106">
        <v>15</v>
      </c>
      <c r="AH8" s="37">
        <v>0</v>
      </c>
      <c r="AI8" s="37">
        <v>0</v>
      </c>
      <c r="AJ8" s="37">
        <v>500000</v>
      </c>
      <c r="AK8" s="37">
        <v>500000</v>
      </c>
      <c r="AL8" s="37">
        <v>6</v>
      </c>
      <c r="AM8" s="37">
        <v>0</v>
      </c>
      <c r="AN8" s="37">
        <v>0</v>
      </c>
      <c r="AO8" s="37">
        <v>0</v>
      </c>
      <c r="AP8" s="37">
        <f t="shared" si="1"/>
        <v>0</v>
      </c>
      <c r="AQ8" s="37">
        <v>0</v>
      </c>
      <c r="AR8" s="37">
        <v>0</v>
      </c>
      <c r="AS8" s="37">
        <v>0</v>
      </c>
      <c r="AT8" s="37">
        <v>0</v>
      </c>
      <c r="AU8" s="37">
        <v>0</v>
      </c>
      <c r="AV8" s="37">
        <v>0</v>
      </c>
      <c r="AW8" s="37">
        <v>0</v>
      </c>
      <c r="AX8" s="37">
        <v>0</v>
      </c>
      <c r="AY8" s="37">
        <v>0</v>
      </c>
      <c r="AZ8" s="37">
        <v>0</v>
      </c>
      <c r="BA8" s="37">
        <v>0</v>
      </c>
      <c r="BB8" s="37">
        <v>0</v>
      </c>
      <c r="BC8" s="37">
        <f t="shared" si="2"/>
        <v>0</v>
      </c>
      <c r="BD8" s="37">
        <f t="shared" si="3"/>
        <v>0</v>
      </c>
      <c r="BE8" s="35">
        <v>30000</v>
      </c>
      <c r="BF8" s="35" t="s">
        <v>221</v>
      </c>
      <c r="BG8" s="37"/>
    </row>
    <row r="9" spans="1:59" x14ac:dyDescent="0.2">
      <c r="A9" s="14">
        <v>4</v>
      </c>
      <c r="B9" s="32" t="s">
        <v>98</v>
      </c>
      <c r="C9" s="18" t="s">
        <v>393</v>
      </c>
      <c r="D9" s="19" t="s">
        <v>196</v>
      </c>
      <c r="E9" s="19" t="s">
        <v>109</v>
      </c>
      <c r="F9" s="18" t="s">
        <v>83</v>
      </c>
      <c r="G9" s="19" t="s">
        <v>86</v>
      </c>
      <c r="H9" s="18" t="s">
        <v>91</v>
      </c>
      <c r="I9" s="33" t="s">
        <v>84</v>
      </c>
      <c r="J9" s="34" t="s">
        <v>120</v>
      </c>
      <c r="K9" s="34" t="s">
        <v>119</v>
      </c>
      <c r="L9" s="35">
        <v>4000000</v>
      </c>
      <c r="M9" s="36">
        <v>0</v>
      </c>
      <c r="N9" s="36">
        <v>0</v>
      </c>
      <c r="O9" s="36">
        <v>0</v>
      </c>
      <c r="P9" s="38">
        <v>22.5</v>
      </c>
      <c r="Q9" s="38"/>
      <c r="R9" s="39">
        <v>20.5</v>
      </c>
      <c r="S9" s="37">
        <v>4000000</v>
      </c>
      <c r="T9" s="36">
        <v>0</v>
      </c>
      <c r="U9" s="36">
        <v>0</v>
      </c>
      <c r="V9" s="36">
        <v>0</v>
      </c>
      <c r="W9" s="40">
        <v>0.04</v>
      </c>
      <c r="X9" s="36">
        <v>0</v>
      </c>
      <c r="Y9" s="36">
        <v>0</v>
      </c>
      <c r="Z9" s="36">
        <v>0</v>
      </c>
      <c r="AA9" s="38">
        <v>22.5</v>
      </c>
      <c r="AB9" s="38"/>
      <c r="AC9" s="39">
        <f t="shared" si="0"/>
        <v>22.5</v>
      </c>
      <c r="AD9" s="37">
        <v>200000</v>
      </c>
      <c r="AE9" s="106">
        <v>15</v>
      </c>
      <c r="AF9" s="37">
        <v>200000</v>
      </c>
      <c r="AG9" s="106">
        <v>15</v>
      </c>
      <c r="AH9" s="37">
        <v>0</v>
      </c>
      <c r="AI9" s="37">
        <v>0</v>
      </c>
      <c r="AJ9" s="37">
        <v>500000</v>
      </c>
      <c r="AK9" s="37">
        <v>500000</v>
      </c>
      <c r="AL9" s="37">
        <v>0</v>
      </c>
      <c r="AM9" s="37">
        <v>0</v>
      </c>
      <c r="AN9" s="37">
        <v>0</v>
      </c>
      <c r="AO9" s="37">
        <v>0</v>
      </c>
      <c r="AP9" s="37">
        <f t="shared" si="1"/>
        <v>0</v>
      </c>
      <c r="AQ9" s="37">
        <v>321200</v>
      </c>
      <c r="AR9" s="37">
        <v>722700</v>
      </c>
      <c r="AS9" s="37">
        <v>1043900</v>
      </c>
      <c r="AT9" s="37">
        <v>60225</v>
      </c>
      <c r="AU9" s="37">
        <v>120450</v>
      </c>
      <c r="AV9" s="37">
        <v>180675</v>
      </c>
      <c r="AW9" s="37">
        <v>40150</v>
      </c>
      <c r="AX9" s="37">
        <v>40150</v>
      </c>
      <c r="AY9" s="37">
        <v>80300</v>
      </c>
      <c r="AZ9" s="37">
        <v>40150</v>
      </c>
      <c r="BA9" s="37">
        <v>80300</v>
      </c>
      <c r="BB9" s="37">
        <v>120450</v>
      </c>
      <c r="BC9" s="37">
        <f t="shared" si="2"/>
        <v>461725</v>
      </c>
      <c r="BD9" s="37">
        <f t="shared" si="3"/>
        <v>963600</v>
      </c>
      <c r="BE9" s="35">
        <v>0</v>
      </c>
      <c r="BF9" s="35" t="s">
        <v>221</v>
      </c>
      <c r="BG9" s="37"/>
    </row>
    <row r="10" spans="1:59" x14ac:dyDescent="0.2">
      <c r="A10" s="14">
        <v>5</v>
      </c>
      <c r="B10" s="32" t="s">
        <v>99</v>
      </c>
      <c r="C10" s="18" t="s">
        <v>393</v>
      </c>
      <c r="D10" s="19" t="s">
        <v>197</v>
      </c>
      <c r="E10" s="19" t="s">
        <v>110</v>
      </c>
      <c r="F10" s="18" t="s">
        <v>83</v>
      </c>
      <c r="G10" s="19" t="s">
        <v>86</v>
      </c>
      <c r="H10" s="18" t="s">
        <v>89</v>
      </c>
      <c r="I10" s="33" t="s">
        <v>84</v>
      </c>
      <c r="J10" s="34" t="s">
        <v>121</v>
      </c>
      <c r="K10" s="34" t="s">
        <v>119</v>
      </c>
      <c r="L10" s="35">
        <v>5000000</v>
      </c>
      <c r="M10" s="36">
        <v>10000000</v>
      </c>
      <c r="N10" s="41">
        <v>42917</v>
      </c>
      <c r="O10" s="42" t="s">
        <v>206</v>
      </c>
      <c r="P10" s="38">
        <v>2</v>
      </c>
      <c r="Q10" s="38">
        <v>20.5</v>
      </c>
      <c r="R10" s="39">
        <v>20.5</v>
      </c>
      <c r="S10" s="37">
        <v>5000000</v>
      </c>
      <c r="T10" s="37">
        <v>6000000</v>
      </c>
      <c r="U10" s="41">
        <v>42917</v>
      </c>
      <c r="V10" s="42" t="s">
        <v>206</v>
      </c>
      <c r="W10" s="40">
        <v>0.05</v>
      </c>
      <c r="X10" s="40">
        <v>0.06</v>
      </c>
      <c r="Y10" s="84">
        <v>42916</v>
      </c>
      <c r="Z10" s="42" t="s">
        <v>212</v>
      </c>
      <c r="AA10" s="38">
        <v>1</v>
      </c>
      <c r="AB10" s="38">
        <v>21.5</v>
      </c>
      <c r="AC10" s="39">
        <f t="shared" si="0"/>
        <v>22.5</v>
      </c>
      <c r="AD10" s="37">
        <v>200000</v>
      </c>
      <c r="AE10" s="106">
        <v>22.5</v>
      </c>
      <c r="AF10" s="37">
        <v>200000</v>
      </c>
      <c r="AG10" s="106">
        <v>22.5</v>
      </c>
      <c r="AH10" s="37">
        <v>0</v>
      </c>
      <c r="AI10" s="37">
        <v>0</v>
      </c>
      <c r="AJ10" s="37">
        <v>0</v>
      </c>
      <c r="AK10" s="37">
        <v>0</v>
      </c>
      <c r="AL10" s="37">
        <v>8</v>
      </c>
      <c r="AM10" s="37">
        <v>0</v>
      </c>
      <c r="AN10" s="37">
        <v>0</v>
      </c>
      <c r="AO10" s="37">
        <v>0</v>
      </c>
      <c r="AP10" s="37">
        <f t="shared" si="1"/>
        <v>0</v>
      </c>
      <c r="AQ10" s="37">
        <v>321200</v>
      </c>
      <c r="AR10" s="37">
        <v>722700</v>
      </c>
      <c r="AS10" s="37">
        <v>1043900</v>
      </c>
      <c r="AT10" s="37">
        <v>60225</v>
      </c>
      <c r="AU10" s="37">
        <v>120450</v>
      </c>
      <c r="AV10" s="37">
        <v>180675</v>
      </c>
      <c r="AW10" s="37">
        <v>40150</v>
      </c>
      <c r="AX10" s="37">
        <v>40150</v>
      </c>
      <c r="AY10" s="37">
        <v>80300</v>
      </c>
      <c r="AZ10" s="37">
        <v>40150</v>
      </c>
      <c r="BA10" s="37">
        <v>80300</v>
      </c>
      <c r="BB10" s="37">
        <v>120450</v>
      </c>
      <c r="BC10" s="37">
        <f t="shared" si="2"/>
        <v>461725</v>
      </c>
      <c r="BD10" s="37">
        <f t="shared" si="3"/>
        <v>963600</v>
      </c>
      <c r="BE10" s="35">
        <v>0</v>
      </c>
      <c r="BF10" s="35" t="s">
        <v>221</v>
      </c>
      <c r="BG10" s="37"/>
    </row>
    <row r="11" spans="1:59" x14ac:dyDescent="0.2">
      <c r="A11" s="14">
        <v>6</v>
      </c>
      <c r="B11" s="32" t="s">
        <v>100</v>
      </c>
      <c r="C11" s="18" t="s">
        <v>395</v>
      </c>
      <c r="D11" s="19" t="s">
        <v>198</v>
      </c>
      <c r="E11" s="19" t="s">
        <v>111</v>
      </c>
      <c r="F11" s="18" t="s">
        <v>43</v>
      </c>
      <c r="G11" s="19" t="s">
        <v>85</v>
      </c>
      <c r="H11" s="18" t="s">
        <v>204</v>
      </c>
      <c r="I11" s="33" t="s">
        <v>84</v>
      </c>
      <c r="J11" s="34" t="s">
        <v>122</v>
      </c>
      <c r="K11" s="34" t="s">
        <v>127</v>
      </c>
      <c r="L11" s="35">
        <v>6000000</v>
      </c>
      <c r="M11" s="36">
        <v>0</v>
      </c>
      <c r="N11" s="36">
        <v>0</v>
      </c>
      <c r="O11" s="36">
        <v>0</v>
      </c>
      <c r="P11" s="38">
        <v>22.5</v>
      </c>
      <c r="Q11" s="38"/>
      <c r="R11" s="39">
        <f t="shared" ref="R11:R15" si="4">SUM(P11:Q11)</f>
        <v>22.5</v>
      </c>
      <c r="S11" s="37">
        <v>6000000</v>
      </c>
      <c r="T11" s="36">
        <v>0</v>
      </c>
      <c r="U11" s="36">
        <v>0</v>
      </c>
      <c r="V11" s="36">
        <v>0</v>
      </c>
      <c r="W11" s="40">
        <v>0.06</v>
      </c>
      <c r="X11" s="36">
        <v>0</v>
      </c>
      <c r="Y11" s="36">
        <v>0</v>
      </c>
      <c r="Z11" s="36">
        <v>0</v>
      </c>
      <c r="AA11" s="38">
        <v>22.5</v>
      </c>
      <c r="AB11" s="38"/>
      <c r="AC11" s="39">
        <f t="shared" si="0"/>
        <v>22.5</v>
      </c>
      <c r="AD11" s="37">
        <v>200000</v>
      </c>
      <c r="AE11" s="106">
        <v>22.5</v>
      </c>
      <c r="AF11" s="37">
        <v>200000</v>
      </c>
      <c r="AG11" s="106">
        <v>22.5</v>
      </c>
      <c r="AH11" s="37">
        <v>0</v>
      </c>
      <c r="AI11" s="37">
        <v>0</v>
      </c>
      <c r="AJ11" s="37">
        <v>0</v>
      </c>
      <c r="AK11" s="37">
        <v>0</v>
      </c>
      <c r="AL11" s="37">
        <v>0</v>
      </c>
      <c r="AM11" s="37">
        <v>0</v>
      </c>
      <c r="AN11" s="37">
        <v>0</v>
      </c>
      <c r="AO11" s="37">
        <v>0</v>
      </c>
      <c r="AP11" s="37">
        <f t="shared" si="1"/>
        <v>0</v>
      </c>
      <c r="AQ11" s="37">
        <v>0</v>
      </c>
      <c r="AR11" s="37">
        <v>0</v>
      </c>
      <c r="AS11" s="37">
        <v>0</v>
      </c>
      <c r="AT11" s="37">
        <v>0</v>
      </c>
      <c r="AU11" s="37">
        <v>0</v>
      </c>
      <c r="AV11" s="37">
        <v>0</v>
      </c>
      <c r="AW11" s="37">
        <v>0</v>
      </c>
      <c r="AX11" s="37">
        <v>0</v>
      </c>
      <c r="AY11" s="37">
        <v>0</v>
      </c>
      <c r="AZ11" s="37">
        <v>0</v>
      </c>
      <c r="BA11" s="37">
        <v>0</v>
      </c>
      <c r="BB11" s="37">
        <v>0</v>
      </c>
      <c r="BC11" s="37">
        <f t="shared" si="2"/>
        <v>0</v>
      </c>
      <c r="BD11" s="37">
        <f t="shared" si="3"/>
        <v>0</v>
      </c>
      <c r="BE11" s="35">
        <v>0</v>
      </c>
      <c r="BF11" s="35" t="s">
        <v>221</v>
      </c>
      <c r="BG11" s="37"/>
    </row>
    <row r="12" spans="1:59" x14ac:dyDescent="0.2">
      <c r="A12" s="14">
        <v>7</v>
      </c>
      <c r="B12" s="32" t="s">
        <v>101</v>
      </c>
      <c r="C12" s="18" t="s">
        <v>395</v>
      </c>
      <c r="D12" s="19" t="s">
        <v>199</v>
      </c>
      <c r="E12" s="19" t="s">
        <v>112</v>
      </c>
      <c r="F12" s="18" t="s">
        <v>43</v>
      </c>
      <c r="G12" s="19" t="s">
        <v>86</v>
      </c>
      <c r="H12" s="18" t="s">
        <v>88</v>
      </c>
      <c r="I12" s="33" t="s">
        <v>84</v>
      </c>
      <c r="J12" s="34" t="s">
        <v>123</v>
      </c>
      <c r="K12" s="34" t="s">
        <v>122</v>
      </c>
      <c r="L12" s="35">
        <v>7000000</v>
      </c>
      <c r="M12" s="36">
        <v>0</v>
      </c>
      <c r="N12" s="36">
        <v>0</v>
      </c>
      <c r="O12" s="36">
        <v>0</v>
      </c>
      <c r="P12" s="38">
        <v>22.5</v>
      </c>
      <c r="Q12" s="38"/>
      <c r="R12" s="39">
        <f t="shared" si="4"/>
        <v>22.5</v>
      </c>
      <c r="S12" s="37">
        <v>7000000</v>
      </c>
      <c r="T12" s="36">
        <v>0</v>
      </c>
      <c r="U12" s="36">
        <v>0</v>
      </c>
      <c r="V12" s="36">
        <v>0</v>
      </c>
      <c r="W12" s="40">
        <v>7.0000000000000007E-2</v>
      </c>
      <c r="X12" s="36">
        <v>0</v>
      </c>
      <c r="Y12" s="36">
        <v>0</v>
      </c>
      <c r="Z12" s="36">
        <v>0</v>
      </c>
      <c r="AA12" s="38">
        <v>22.5</v>
      </c>
      <c r="AB12" s="38"/>
      <c r="AC12" s="39">
        <f t="shared" si="0"/>
        <v>22.5</v>
      </c>
      <c r="AD12" s="37">
        <v>200000</v>
      </c>
      <c r="AE12" s="106">
        <v>22.5</v>
      </c>
      <c r="AF12" s="37">
        <v>200000</v>
      </c>
      <c r="AG12" s="106">
        <v>22.5</v>
      </c>
      <c r="AH12" s="37">
        <v>0</v>
      </c>
      <c r="AI12" s="37">
        <v>0</v>
      </c>
      <c r="AJ12" s="37">
        <v>0</v>
      </c>
      <c r="AK12" s="37">
        <v>0</v>
      </c>
      <c r="AL12" s="37">
        <v>0</v>
      </c>
      <c r="AM12" s="37">
        <v>0</v>
      </c>
      <c r="AN12" s="37">
        <v>0</v>
      </c>
      <c r="AO12" s="37">
        <v>0</v>
      </c>
      <c r="AP12" s="37">
        <f t="shared" si="1"/>
        <v>0</v>
      </c>
      <c r="AQ12" s="37">
        <v>321200</v>
      </c>
      <c r="AR12" s="37">
        <v>722700</v>
      </c>
      <c r="AS12" s="37">
        <v>1043900</v>
      </c>
      <c r="AT12" s="37">
        <v>60225</v>
      </c>
      <c r="AU12" s="37">
        <v>120450</v>
      </c>
      <c r="AV12" s="37">
        <v>180675</v>
      </c>
      <c r="AW12" s="37">
        <v>40150</v>
      </c>
      <c r="AX12" s="37">
        <v>40150</v>
      </c>
      <c r="AY12" s="37">
        <v>80300</v>
      </c>
      <c r="AZ12" s="37">
        <v>40150</v>
      </c>
      <c r="BA12" s="37">
        <v>80300</v>
      </c>
      <c r="BB12" s="37">
        <v>120450</v>
      </c>
      <c r="BC12" s="37">
        <f t="shared" si="2"/>
        <v>461725</v>
      </c>
      <c r="BD12" s="37">
        <f t="shared" si="3"/>
        <v>963600</v>
      </c>
      <c r="BE12" s="35">
        <v>0</v>
      </c>
      <c r="BF12" s="35" t="s">
        <v>221</v>
      </c>
      <c r="BG12" s="37"/>
    </row>
    <row r="13" spans="1:59" x14ac:dyDescent="0.2">
      <c r="A13" s="14">
        <v>8</v>
      </c>
      <c r="B13" s="32" t="s">
        <v>102</v>
      </c>
      <c r="C13" s="18" t="s">
        <v>395</v>
      </c>
      <c r="D13" s="19" t="s">
        <v>200</v>
      </c>
      <c r="E13" s="19" t="s">
        <v>107</v>
      </c>
      <c r="F13" s="18" t="s">
        <v>43</v>
      </c>
      <c r="G13" s="19" t="s">
        <v>86</v>
      </c>
      <c r="H13" s="18" t="s">
        <v>87</v>
      </c>
      <c r="I13" s="33" t="s">
        <v>84</v>
      </c>
      <c r="J13" s="34" t="s">
        <v>124</v>
      </c>
      <c r="K13" s="34" t="s">
        <v>122</v>
      </c>
      <c r="L13" s="35">
        <v>8000000</v>
      </c>
      <c r="M13" s="36">
        <v>10000000</v>
      </c>
      <c r="N13" s="41">
        <v>42931</v>
      </c>
      <c r="O13" s="42" t="s">
        <v>206</v>
      </c>
      <c r="P13" s="38">
        <v>10</v>
      </c>
      <c r="Q13" s="38">
        <v>12.5</v>
      </c>
      <c r="R13" s="39">
        <f t="shared" si="4"/>
        <v>22.5</v>
      </c>
      <c r="S13" s="37">
        <v>8000000</v>
      </c>
      <c r="T13" s="37">
        <v>10000000</v>
      </c>
      <c r="U13" s="41">
        <v>42917</v>
      </c>
      <c r="V13" s="42" t="s">
        <v>208</v>
      </c>
      <c r="W13" s="40">
        <v>0.08</v>
      </c>
      <c r="X13" s="40">
        <v>0.09</v>
      </c>
      <c r="Y13" s="84">
        <v>42933</v>
      </c>
      <c r="Z13" s="42" t="s">
        <v>212</v>
      </c>
      <c r="AA13" s="38">
        <v>12</v>
      </c>
      <c r="AB13" s="38">
        <v>10.5</v>
      </c>
      <c r="AC13" s="39">
        <f t="shared" si="0"/>
        <v>22.5</v>
      </c>
      <c r="AD13" s="37">
        <v>200000</v>
      </c>
      <c r="AE13" s="106">
        <v>22.5</v>
      </c>
      <c r="AF13" s="37">
        <v>200000</v>
      </c>
      <c r="AG13" s="106">
        <v>22.5</v>
      </c>
      <c r="AH13" s="37">
        <v>0</v>
      </c>
      <c r="AI13" s="37">
        <v>0</v>
      </c>
      <c r="AJ13" s="37">
        <v>0</v>
      </c>
      <c r="AK13" s="37">
        <v>0</v>
      </c>
      <c r="AL13" s="37">
        <v>9</v>
      </c>
      <c r="AM13" s="37">
        <v>0</v>
      </c>
      <c r="AN13" s="37">
        <v>0</v>
      </c>
      <c r="AO13" s="37">
        <v>0</v>
      </c>
      <c r="AP13" s="37">
        <f t="shared" si="1"/>
        <v>0</v>
      </c>
      <c r="AQ13" s="37">
        <v>321200</v>
      </c>
      <c r="AR13" s="37">
        <v>722700</v>
      </c>
      <c r="AS13" s="37">
        <v>1043900</v>
      </c>
      <c r="AT13" s="37">
        <v>60225</v>
      </c>
      <c r="AU13" s="37">
        <v>120450</v>
      </c>
      <c r="AV13" s="37">
        <v>180675</v>
      </c>
      <c r="AW13" s="37">
        <v>40150</v>
      </c>
      <c r="AX13" s="37">
        <v>40150</v>
      </c>
      <c r="AY13" s="37">
        <v>80300</v>
      </c>
      <c r="AZ13" s="37">
        <v>40150</v>
      </c>
      <c r="BA13" s="37">
        <v>80300</v>
      </c>
      <c r="BB13" s="37">
        <v>120450</v>
      </c>
      <c r="BC13" s="37">
        <f t="shared" si="2"/>
        <v>461725</v>
      </c>
      <c r="BD13" s="37">
        <f t="shared" si="3"/>
        <v>963600</v>
      </c>
      <c r="BE13" s="35">
        <v>0</v>
      </c>
      <c r="BF13" s="35" t="s">
        <v>221</v>
      </c>
      <c r="BG13" s="37"/>
    </row>
    <row r="14" spans="1:59" x14ac:dyDescent="0.2">
      <c r="A14" s="14">
        <v>9</v>
      </c>
      <c r="B14" s="32" t="s">
        <v>103</v>
      </c>
      <c r="C14" s="18" t="s">
        <v>394</v>
      </c>
      <c r="D14" s="19" t="s">
        <v>201</v>
      </c>
      <c r="E14" s="19" t="s">
        <v>113</v>
      </c>
      <c r="F14" s="18" t="s">
        <v>83</v>
      </c>
      <c r="G14" s="19" t="s">
        <v>85</v>
      </c>
      <c r="H14" s="18" t="s">
        <v>205</v>
      </c>
      <c r="I14" s="33" t="s">
        <v>84</v>
      </c>
      <c r="J14" s="34" t="s">
        <v>125</v>
      </c>
      <c r="K14" s="34" t="s">
        <v>127</v>
      </c>
      <c r="L14" s="35">
        <v>9000000</v>
      </c>
      <c r="M14" s="36">
        <v>0</v>
      </c>
      <c r="N14" s="36">
        <v>0</v>
      </c>
      <c r="O14" s="36">
        <v>0</v>
      </c>
      <c r="P14" s="38">
        <v>22.5</v>
      </c>
      <c r="Q14" s="38"/>
      <c r="R14" s="39">
        <f t="shared" si="4"/>
        <v>22.5</v>
      </c>
      <c r="S14" s="37">
        <v>9000000</v>
      </c>
      <c r="T14" s="36">
        <v>0</v>
      </c>
      <c r="U14" s="36">
        <v>0</v>
      </c>
      <c r="V14" s="36">
        <v>0</v>
      </c>
      <c r="W14" s="40">
        <v>0.09</v>
      </c>
      <c r="X14" s="36">
        <v>0</v>
      </c>
      <c r="Y14" s="36">
        <v>0</v>
      </c>
      <c r="Z14" s="36">
        <v>0</v>
      </c>
      <c r="AA14" s="38">
        <v>22.5</v>
      </c>
      <c r="AB14" s="38"/>
      <c r="AC14" s="39">
        <f t="shared" si="0"/>
        <v>22.5</v>
      </c>
      <c r="AD14" s="37">
        <v>200000</v>
      </c>
      <c r="AE14" s="106">
        <v>22.5</v>
      </c>
      <c r="AF14" s="37">
        <v>200000</v>
      </c>
      <c r="AG14" s="106">
        <v>22.5</v>
      </c>
      <c r="AH14" s="37">
        <v>0</v>
      </c>
      <c r="AI14" s="37">
        <v>0</v>
      </c>
      <c r="AJ14" s="37">
        <v>0</v>
      </c>
      <c r="AK14" s="37">
        <v>0</v>
      </c>
      <c r="AL14" s="37">
        <v>32</v>
      </c>
      <c r="AM14" s="37">
        <v>22000</v>
      </c>
      <c r="AN14" s="37">
        <v>0</v>
      </c>
      <c r="AO14" s="37">
        <v>0</v>
      </c>
      <c r="AP14" s="37">
        <f t="shared" si="1"/>
        <v>22000</v>
      </c>
      <c r="AQ14" s="37">
        <v>321200</v>
      </c>
      <c r="AR14" s="37">
        <v>722700</v>
      </c>
      <c r="AS14" s="37">
        <v>1043900</v>
      </c>
      <c r="AT14" s="37">
        <v>60225</v>
      </c>
      <c r="AU14" s="37">
        <v>120450</v>
      </c>
      <c r="AV14" s="37">
        <v>180675</v>
      </c>
      <c r="AW14" s="37">
        <v>40150</v>
      </c>
      <c r="AX14" s="37">
        <v>40150</v>
      </c>
      <c r="AY14" s="37">
        <v>80300</v>
      </c>
      <c r="AZ14" s="37">
        <v>40150</v>
      </c>
      <c r="BA14" s="37">
        <v>80300</v>
      </c>
      <c r="BB14" s="37">
        <v>120450</v>
      </c>
      <c r="BC14" s="37">
        <f t="shared" si="2"/>
        <v>461725</v>
      </c>
      <c r="BD14" s="37">
        <f t="shared" si="3"/>
        <v>963600</v>
      </c>
      <c r="BE14" s="35">
        <v>0</v>
      </c>
      <c r="BF14" s="35" t="s">
        <v>221</v>
      </c>
      <c r="BG14" s="37"/>
    </row>
    <row r="15" spans="1:59" x14ac:dyDescent="0.2">
      <c r="A15" s="14">
        <v>10</v>
      </c>
      <c r="B15" s="32" t="s">
        <v>104</v>
      </c>
      <c r="C15" s="18" t="s">
        <v>394</v>
      </c>
      <c r="D15" s="19" t="s">
        <v>202</v>
      </c>
      <c r="E15" s="19" t="s">
        <v>114</v>
      </c>
      <c r="F15" s="18" t="s">
        <v>83</v>
      </c>
      <c r="G15" s="19" t="s">
        <v>86</v>
      </c>
      <c r="H15" s="18" t="s">
        <v>92</v>
      </c>
      <c r="I15" s="33" t="s">
        <v>84</v>
      </c>
      <c r="J15" s="34" t="s">
        <v>126</v>
      </c>
      <c r="K15" s="34" t="s">
        <v>125</v>
      </c>
      <c r="L15" s="35">
        <v>10000000</v>
      </c>
      <c r="M15" s="36">
        <v>0</v>
      </c>
      <c r="N15" s="36">
        <v>0</v>
      </c>
      <c r="O15" s="36">
        <v>0</v>
      </c>
      <c r="P15" s="38">
        <v>22.5</v>
      </c>
      <c r="Q15" s="38"/>
      <c r="R15" s="39">
        <f t="shared" si="4"/>
        <v>22.5</v>
      </c>
      <c r="S15" s="37">
        <v>10000000</v>
      </c>
      <c r="T15" s="36">
        <v>0</v>
      </c>
      <c r="U15" s="36">
        <v>0</v>
      </c>
      <c r="V15" s="36">
        <v>0</v>
      </c>
      <c r="W15" s="40">
        <v>0.1</v>
      </c>
      <c r="X15" s="36">
        <v>0</v>
      </c>
      <c r="Y15" s="36">
        <v>0</v>
      </c>
      <c r="Z15" s="36">
        <v>0</v>
      </c>
      <c r="AA15" s="38">
        <v>22.5</v>
      </c>
      <c r="AB15" s="38"/>
      <c r="AC15" s="39">
        <f t="shared" si="0"/>
        <v>22.5</v>
      </c>
      <c r="AD15" s="37">
        <v>200000</v>
      </c>
      <c r="AE15" s="106">
        <v>22.5</v>
      </c>
      <c r="AF15" s="37">
        <v>200000</v>
      </c>
      <c r="AG15" s="106">
        <v>22.5</v>
      </c>
      <c r="AH15" s="37">
        <v>0</v>
      </c>
      <c r="AI15" s="37">
        <v>0</v>
      </c>
      <c r="AJ15" s="37">
        <v>0</v>
      </c>
      <c r="AK15" s="37">
        <v>0</v>
      </c>
      <c r="AL15" s="37">
        <v>0</v>
      </c>
      <c r="AM15" s="37">
        <v>0</v>
      </c>
      <c r="AN15" s="37">
        <v>0</v>
      </c>
      <c r="AO15" s="37">
        <v>0</v>
      </c>
      <c r="AP15" s="37">
        <f t="shared" si="1"/>
        <v>0</v>
      </c>
      <c r="AQ15" s="37">
        <v>321200</v>
      </c>
      <c r="AR15" s="37">
        <v>722700</v>
      </c>
      <c r="AS15" s="37">
        <v>1043900</v>
      </c>
      <c r="AT15" s="37">
        <v>60225</v>
      </c>
      <c r="AU15" s="37">
        <v>120450</v>
      </c>
      <c r="AV15" s="37">
        <v>180675</v>
      </c>
      <c r="AW15" s="37">
        <v>40150</v>
      </c>
      <c r="AX15" s="37">
        <v>40150</v>
      </c>
      <c r="AY15" s="37">
        <v>80300</v>
      </c>
      <c r="AZ15" s="37">
        <v>40150</v>
      </c>
      <c r="BA15" s="37">
        <v>80300</v>
      </c>
      <c r="BB15" s="37">
        <v>120450</v>
      </c>
      <c r="BC15" s="37">
        <f t="shared" si="2"/>
        <v>461725</v>
      </c>
      <c r="BD15" s="37">
        <f t="shared" si="3"/>
        <v>963600</v>
      </c>
      <c r="BE15" s="35">
        <v>0</v>
      </c>
      <c r="BF15" s="35" t="s">
        <v>221</v>
      </c>
      <c r="BG15" s="37"/>
    </row>
  </sheetData>
  <mergeCells count="60">
    <mergeCell ref="BF2:BF4"/>
    <mergeCell ref="AF2:AG2"/>
    <mergeCell ref="AF3:AF4"/>
    <mergeCell ref="AG3:AG4"/>
    <mergeCell ref="AA2:AC2"/>
    <mergeCell ref="AA3:AB3"/>
    <mergeCell ref="AC3:AC4"/>
    <mergeCell ref="BD2:BD4"/>
    <mergeCell ref="BE2:BE4"/>
    <mergeCell ref="AY3:AY4"/>
    <mergeCell ref="BB3:BB4"/>
    <mergeCell ref="AK3:AK4"/>
    <mergeCell ref="B2:B4"/>
    <mergeCell ref="C2:C4"/>
    <mergeCell ref="D2:D4"/>
    <mergeCell ref="E2:E4"/>
    <mergeCell ref="F2:F4"/>
    <mergeCell ref="I2:I4"/>
    <mergeCell ref="J2:J4"/>
    <mergeCell ref="L2:O2"/>
    <mergeCell ref="S2:V2"/>
    <mergeCell ref="K2:K4"/>
    <mergeCell ref="U3:U4"/>
    <mergeCell ref="BG2:BG4"/>
    <mergeCell ref="L3:L4"/>
    <mergeCell ref="M3:M4"/>
    <mergeCell ref="N3:N4"/>
    <mergeCell ref="O3:O4"/>
    <mergeCell ref="S3:S4"/>
    <mergeCell ref="T3:T4"/>
    <mergeCell ref="V3:V4"/>
    <mergeCell ref="AQ2:AS2"/>
    <mergeCell ref="AT2:AV2"/>
    <mergeCell ref="AW2:AY2"/>
    <mergeCell ref="AZ2:BB2"/>
    <mergeCell ref="BC2:BC4"/>
    <mergeCell ref="P2:R2"/>
    <mergeCell ref="AS3:AS4"/>
    <mergeCell ref="AV3:AV4"/>
    <mergeCell ref="W3:W4"/>
    <mergeCell ref="Z3:Z4"/>
    <mergeCell ref="AH3:AH4"/>
    <mergeCell ref="AI3:AI4"/>
    <mergeCell ref="AJ3:AJ4"/>
    <mergeCell ref="A2:A4"/>
    <mergeCell ref="X3:X4"/>
    <mergeCell ref="Y3:Y4"/>
    <mergeCell ref="AL3:AM3"/>
    <mergeCell ref="AP3:AP4"/>
    <mergeCell ref="AL2:AP2"/>
    <mergeCell ref="AN3:AO3"/>
    <mergeCell ref="AD2:AE2"/>
    <mergeCell ref="W2:Z2"/>
    <mergeCell ref="AH2:AK2"/>
    <mergeCell ref="P3:Q3"/>
    <mergeCell ref="R3:R4"/>
    <mergeCell ref="AD3:AD4"/>
    <mergeCell ref="AE3:AE4"/>
    <mergeCell ref="G2:G4"/>
    <mergeCell ref="H2:H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2"/>
  <sheetViews>
    <sheetView topLeftCell="A4" workbookViewId="0">
      <selection activeCell="F12" sqref="F12"/>
    </sheetView>
  </sheetViews>
  <sheetFormatPr defaultRowHeight="15" x14ac:dyDescent="0.25"/>
  <cols>
    <col min="1" max="1" width="14.28515625" bestFit="1" customWidth="1"/>
    <col min="2" max="2" width="13.28515625" bestFit="1" customWidth="1"/>
    <col min="3" max="5" width="15.28515625" customWidth="1"/>
    <col min="6" max="6" width="9.140625" customWidth="1"/>
  </cols>
  <sheetData>
    <row r="1" spans="1:5" x14ac:dyDescent="0.25">
      <c r="A1" s="97" t="s">
        <v>303</v>
      </c>
    </row>
    <row r="2" spans="1:5" x14ac:dyDescent="0.25">
      <c r="A2" s="149" t="s">
        <v>308</v>
      </c>
      <c r="B2" s="149" t="s">
        <v>249</v>
      </c>
      <c r="C2" s="149" t="s">
        <v>86</v>
      </c>
      <c r="D2" s="149" t="s">
        <v>179</v>
      </c>
    </row>
    <row r="3" spans="1:5" x14ac:dyDescent="0.25">
      <c r="A3" s="126" t="s">
        <v>167</v>
      </c>
      <c r="B3" s="146">
        <v>0.17499999999999999</v>
      </c>
      <c r="C3" s="146">
        <v>0.08</v>
      </c>
      <c r="D3" s="146">
        <f>SUM(B3:C3)</f>
        <v>0.255</v>
      </c>
    </row>
    <row r="4" spans="1:5" x14ac:dyDescent="0.25">
      <c r="A4" s="126" t="s">
        <v>168</v>
      </c>
      <c r="B4" s="146">
        <v>0.03</v>
      </c>
      <c r="C4" s="146">
        <v>1.4999999999999999E-2</v>
      </c>
      <c r="D4" s="146">
        <f t="shared" ref="D4:D7" si="0">SUM(B4:C4)</f>
        <v>4.4999999999999998E-2</v>
      </c>
    </row>
    <row r="5" spans="1:5" x14ac:dyDescent="0.25">
      <c r="A5" s="126" t="s">
        <v>169</v>
      </c>
      <c r="B5" s="146">
        <v>0.01</v>
      </c>
      <c r="C5" s="146">
        <v>0.01</v>
      </c>
      <c r="D5" s="146">
        <f t="shared" si="0"/>
        <v>0.02</v>
      </c>
    </row>
    <row r="6" spans="1:5" x14ac:dyDescent="0.25">
      <c r="A6" s="126" t="s">
        <v>248</v>
      </c>
      <c r="B6" s="146">
        <v>0.02</v>
      </c>
      <c r="C6" s="146">
        <v>0.01</v>
      </c>
      <c r="D6" s="146">
        <f t="shared" si="0"/>
        <v>0.03</v>
      </c>
    </row>
    <row r="7" spans="1:5" x14ac:dyDescent="0.25">
      <c r="A7" s="126" t="s">
        <v>179</v>
      </c>
      <c r="B7" s="147">
        <f>SUM(B3:B6)</f>
        <v>0.23499999999999999</v>
      </c>
      <c r="C7" s="147">
        <f>SUM(C3:C6)</f>
        <v>0.11499999999999999</v>
      </c>
      <c r="D7" s="148">
        <f t="shared" si="0"/>
        <v>0.35</v>
      </c>
    </row>
    <row r="9" spans="1:5" x14ac:dyDescent="0.25">
      <c r="A9" s="97" t="s">
        <v>304</v>
      </c>
    </row>
    <row r="10" spans="1:5" ht="30" x14ac:dyDescent="0.25">
      <c r="A10" s="149" t="s">
        <v>305</v>
      </c>
      <c r="B10" s="149" t="s">
        <v>306</v>
      </c>
      <c r="C10" s="150" t="s">
        <v>311</v>
      </c>
      <c r="D10" s="150" t="s">
        <v>310</v>
      </c>
      <c r="E10" s="150" t="s">
        <v>309</v>
      </c>
    </row>
    <row r="11" spans="1:5" x14ac:dyDescent="0.25">
      <c r="A11" s="143">
        <v>5000000</v>
      </c>
      <c r="B11" s="144">
        <v>0.05</v>
      </c>
      <c r="C11" s="151">
        <f>A11*B11</f>
        <v>250000</v>
      </c>
      <c r="D11" s="151">
        <f>A11*B11</f>
        <v>250000</v>
      </c>
      <c r="E11" s="151">
        <f>D11-C11</f>
        <v>0</v>
      </c>
    </row>
    <row r="12" spans="1:5" x14ac:dyDescent="0.25">
      <c r="A12" s="143">
        <v>10000000</v>
      </c>
      <c r="B12" s="144">
        <v>0.1</v>
      </c>
      <c r="C12" s="151">
        <f>C11+(A12-A11)*B12</f>
        <v>750000</v>
      </c>
      <c r="D12" s="151">
        <f t="shared" ref="D12:D16" si="1">A12*B12</f>
        <v>1000000</v>
      </c>
      <c r="E12" s="151">
        <f t="shared" ref="E12:E17" si="2">D12-C12</f>
        <v>250000</v>
      </c>
    </row>
    <row r="13" spans="1:5" x14ac:dyDescent="0.25">
      <c r="A13" s="143">
        <v>18000000</v>
      </c>
      <c r="B13" s="144">
        <v>0.15</v>
      </c>
      <c r="C13" s="151">
        <f>C12+(A13-A12)*B13</f>
        <v>1950000</v>
      </c>
      <c r="D13" s="151">
        <f t="shared" si="1"/>
        <v>2700000</v>
      </c>
      <c r="E13" s="151">
        <f t="shared" si="2"/>
        <v>750000</v>
      </c>
    </row>
    <row r="14" spans="1:5" x14ac:dyDescent="0.25">
      <c r="A14" s="143">
        <v>32000000</v>
      </c>
      <c r="B14" s="144">
        <v>0.2</v>
      </c>
      <c r="C14" s="151">
        <f>C13+(A14-A13)*B14</f>
        <v>4750000</v>
      </c>
      <c r="D14" s="151">
        <f t="shared" si="1"/>
        <v>6400000</v>
      </c>
      <c r="E14" s="151">
        <f t="shared" si="2"/>
        <v>1650000</v>
      </c>
    </row>
    <row r="15" spans="1:5" x14ac:dyDescent="0.25">
      <c r="A15" s="143">
        <v>52000000</v>
      </c>
      <c r="B15" s="144">
        <v>0.25</v>
      </c>
      <c r="C15" s="151">
        <f>C14+(A15-A14)*B15</f>
        <v>9750000</v>
      </c>
      <c r="D15" s="151">
        <f t="shared" si="1"/>
        <v>13000000</v>
      </c>
      <c r="E15" s="151">
        <f t="shared" si="2"/>
        <v>3250000</v>
      </c>
    </row>
    <row r="16" spans="1:5" x14ac:dyDescent="0.25">
      <c r="A16" s="143">
        <v>80000000</v>
      </c>
      <c r="B16" s="144">
        <v>0.3</v>
      </c>
      <c r="C16" s="151">
        <f>C15+(A16-A15)*B16</f>
        <v>18150000</v>
      </c>
      <c r="D16" s="151">
        <f t="shared" si="1"/>
        <v>24000000</v>
      </c>
      <c r="E16" s="151">
        <f t="shared" si="2"/>
        <v>5850000</v>
      </c>
    </row>
    <row r="17" spans="1:5" x14ac:dyDescent="0.25">
      <c r="A17" s="145" t="s">
        <v>307</v>
      </c>
      <c r="B17" s="144">
        <v>0.35</v>
      </c>
      <c r="C17" s="151">
        <f>C16</f>
        <v>18150000</v>
      </c>
      <c r="D17" s="151">
        <f>A16*B17</f>
        <v>28000000</v>
      </c>
      <c r="E17" s="151">
        <f t="shared" si="2"/>
        <v>9850000</v>
      </c>
    </row>
    <row r="19" spans="1:5" x14ac:dyDescent="0.25">
      <c r="A19" s="97" t="s">
        <v>480</v>
      </c>
    </row>
    <row r="20" spans="1:5" x14ac:dyDescent="0.25">
      <c r="A20" s="126" t="s">
        <v>256</v>
      </c>
      <c r="B20" s="143">
        <v>600000</v>
      </c>
    </row>
    <row r="21" spans="1:5" x14ac:dyDescent="0.25">
      <c r="A21" s="126" t="s">
        <v>280</v>
      </c>
      <c r="B21" s="143">
        <v>9000000</v>
      </c>
    </row>
    <row r="22" spans="1:5" x14ac:dyDescent="0.25">
      <c r="A22" s="126" t="s">
        <v>279</v>
      </c>
      <c r="B22" s="143">
        <v>3600000</v>
      </c>
    </row>
  </sheetData>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5"/>
  <sheetViews>
    <sheetView topLeftCell="B1" workbookViewId="0">
      <selection activeCell="N6" sqref="N6"/>
    </sheetView>
  </sheetViews>
  <sheetFormatPr defaultRowHeight="15" x14ac:dyDescent="0.25"/>
  <cols>
    <col min="2" max="2" width="6.140625" customWidth="1"/>
    <col min="3" max="4" width="8.28515625" customWidth="1"/>
    <col min="5" max="6" width="14.7109375" customWidth="1"/>
    <col min="7" max="7" width="6.5703125" customWidth="1"/>
    <col min="8" max="8" width="15.42578125" customWidth="1"/>
    <col min="9" max="10" width="7.85546875" customWidth="1"/>
    <col min="11" max="14" width="11.42578125" customWidth="1"/>
    <col min="15" max="15" width="12.5703125" bestFit="1" customWidth="1"/>
    <col min="16" max="16" width="11.42578125" customWidth="1"/>
    <col min="17" max="18" width="12.140625" customWidth="1"/>
  </cols>
  <sheetData>
    <row r="1" spans="1:18" x14ac:dyDescent="0.25">
      <c r="A1" s="97" t="s">
        <v>242</v>
      </c>
    </row>
    <row r="2" spans="1:18" x14ac:dyDescent="0.25">
      <c r="B2" s="97"/>
    </row>
    <row r="3" spans="1:18" x14ac:dyDescent="0.25">
      <c r="A3" s="336" t="s">
        <v>469</v>
      </c>
      <c r="B3" s="336" t="s">
        <v>0</v>
      </c>
      <c r="C3" s="336" t="s">
        <v>1</v>
      </c>
      <c r="D3" s="336" t="s">
        <v>2</v>
      </c>
      <c r="E3" s="336" t="s">
        <v>218</v>
      </c>
      <c r="F3" s="336" t="s">
        <v>3</v>
      </c>
      <c r="G3" s="336" t="s">
        <v>4</v>
      </c>
      <c r="H3" s="336" t="s">
        <v>5</v>
      </c>
      <c r="I3" s="336" t="s">
        <v>6</v>
      </c>
      <c r="J3" s="336" t="s">
        <v>7</v>
      </c>
      <c r="K3" s="337" t="s">
        <v>13</v>
      </c>
      <c r="L3" s="338"/>
      <c r="M3" s="338"/>
      <c r="N3" s="338"/>
      <c r="O3" s="338"/>
      <c r="P3" s="338"/>
      <c r="Q3" s="338"/>
      <c r="R3" s="339"/>
    </row>
    <row r="4" spans="1:18" ht="25.5" x14ac:dyDescent="0.25">
      <c r="A4" s="336"/>
      <c r="B4" s="336"/>
      <c r="C4" s="336"/>
      <c r="D4" s="336"/>
      <c r="E4" s="336"/>
      <c r="F4" s="336"/>
      <c r="G4" s="336"/>
      <c r="H4" s="336"/>
      <c r="I4" s="336"/>
      <c r="J4" s="336"/>
      <c r="K4" s="88" t="s">
        <v>25</v>
      </c>
      <c r="L4" s="88" t="s">
        <v>27</v>
      </c>
      <c r="M4" s="88" t="s">
        <v>28</v>
      </c>
      <c r="N4" s="88" t="s">
        <v>243</v>
      </c>
      <c r="O4" s="88" t="s">
        <v>26</v>
      </c>
      <c r="P4" s="88" t="s">
        <v>241</v>
      </c>
      <c r="Q4" s="115" t="s">
        <v>239</v>
      </c>
      <c r="R4" s="115" t="s">
        <v>240</v>
      </c>
    </row>
    <row r="5" spans="1:18" x14ac:dyDescent="0.25">
      <c r="A5" s="90"/>
      <c r="B5" s="90"/>
      <c r="C5" s="90">
        <v>1</v>
      </c>
      <c r="D5" s="90">
        <v>2</v>
      </c>
      <c r="E5" s="90">
        <v>3</v>
      </c>
      <c r="F5" s="90">
        <v>4</v>
      </c>
      <c r="G5" s="90">
        <v>5</v>
      </c>
      <c r="H5" s="90">
        <v>6</v>
      </c>
      <c r="I5" s="90">
        <v>7</v>
      </c>
      <c r="J5" s="90">
        <v>8</v>
      </c>
      <c r="K5" s="90">
        <v>9</v>
      </c>
      <c r="L5" s="90">
        <v>10</v>
      </c>
      <c r="M5" s="90">
        <v>11</v>
      </c>
      <c r="N5" s="90">
        <v>12</v>
      </c>
      <c r="O5" s="90">
        <v>13</v>
      </c>
      <c r="P5" s="90">
        <v>14</v>
      </c>
      <c r="Q5" s="90">
        <v>15</v>
      </c>
      <c r="R5" s="90">
        <v>16</v>
      </c>
    </row>
    <row r="6" spans="1:18" x14ac:dyDescent="0.25">
      <c r="A6" s="89" t="s">
        <v>302</v>
      </c>
      <c r="B6" s="89">
        <v>1</v>
      </c>
      <c r="C6" s="89" t="str">
        <f>VLOOKUP(B6,'1.2 HR-Data luong'!A:B,2,0)</f>
        <v>ADS01</v>
      </c>
      <c r="D6" s="89" t="str">
        <f>VLOOKUP($C6,'1.2 HR-Data luong'!$B:$BG,D$5,0)</f>
        <v>BD01 HN</v>
      </c>
      <c r="E6" s="89" t="str">
        <f>VLOOKUP($C6,'1.2 HR-Data luong'!$B:$BG,E$5,0)</f>
        <v>NguyenVanA</v>
      </c>
      <c r="F6" s="89" t="str">
        <f>VLOOKUP($C6,'1.2 HR-Data luong'!$B:$BG,F$5,0)</f>
        <v>Nguyễn Văn A</v>
      </c>
      <c r="G6" s="89" t="str">
        <f>VLOOKUP($C6,'1.2 HR-Data luong'!$B:$BG,G$5,0)</f>
        <v>HN</v>
      </c>
      <c r="H6" s="89" t="str">
        <f>VLOOKUP($C6,'1.2 HR-Data luong'!$B:$BG,H$5,0)</f>
        <v>Trưởng phòng</v>
      </c>
      <c r="I6" s="89" t="str">
        <f>VLOOKUP($C6,'1.2 HR-Data luong'!$B:$BG,I$5,0)</f>
        <v>TP C1</v>
      </c>
      <c r="J6" s="89" t="str">
        <f>VLOOKUP($C6,'1.2 HR-Data luong'!$B:$BG,J$5,0)</f>
        <v>CT</v>
      </c>
      <c r="K6" s="99">
        <v>300000</v>
      </c>
      <c r="L6" s="99">
        <v>1000000</v>
      </c>
      <c r="M6" s="99">
        <v>100000</v>
      </c>
      <c r="N6" s="99">
        <v>2000000</v>
      </c>
      <c r="O6" s="99">
        <v>10000000</v>
      </c>
      <c r="P6" s="99">
        <v>0</v>
      </c>
      <c r="Q6" s="99">
        <v>50000000</v>
      </c>
      <c r="R6" s="99"/>
    </row>
    <row r="7" spans="1:18" x14ac:dyDescent="0.25">
      <c r="A7" s="89" t="s">
        <v>302</v>
      </c>
      <c r="B7" s="89">
        <v>2</v>
      </c>
      <c r="C7" s="89" t="str">
        <f>VLOOKUP(B7,'1.2 HR-Data luong'!A:B,2,0)</f>
        <v>ADS02</v>
      </c>
      <c r="D7" s="89" t="str">
        <f>VLOOKUP($C7,'1.2 HR-Data luong'!$B:$BG,D$5,0)</f>
        <v>BD01 HN</v>
      </c>
      <c r="E7" s="89" t="str">
        <f>VLOOKUP($C7,'1.2 HR-Data luong'!$B:$BG,E$5,0)</f>
        <v>NguyenVanB</v>
      </c>
      <c r="F7" s="89" t="str">
        <f>VLOOKUP($C7,'1.2 HR-Data luong'!$B:$BG,F$5,0)</f>
        <v>Nguyễn Văn B</v>
      </c>
      <c r="G7" s="89" t="str">
        <f>VLOOKUP($C7,'1.2 HR-Data luong'!$B:$BG,G$5,0)</f>
        <v>HN</v>
      </c>
      <c r="H7" s="89" t="str">
        <f>VLOOKUP($C7,'1.2 HR-Data luong'!$B:$BG,H$5,0)</f>
        <v>Nhân viên</v>
      </c>
      <c r="I7" s="89" t="str">
        <f>VLOOKUP($C7,'1.2 HR-Data luong'!$B:$BG,I$5,0)</f>
        <v>C1</v>
      </c>
      <c r="J7" s="89" t="str">
        <f>VLOOKUP($C7,'1.2 HR-Data luong'!$B:$BG,J$5,0)</f>
        <v>CT</v>
      </c>
      <c r="K7" s="99">
        <v>300000</v>
      </c>
      <c r="L7" s="99">
        <v>2000000</v>
      </c>
      <c r="M7" s="99">
        <v>200000</v>
      </c>
      <c r="N7" s="99">
        <v>0</v>
      </c>
      <c r="O7" s="99">
        <v>20000000</v>
      </c>
      <c r="P7" s="99">
        <v>0</v>
      </c>
      <c r="Q7" s="99">
        <v>50000000</v>
      </c>
      <c r="R7" s="99"/>
    </row>
    <row r="8" spans="1:18" x14ac:dyDescent="0.25">
      <c r="A8" s="89" t="s">
        <v>302</v>
      </c>
      <c r="B8" s="89">
        <v>3</v>
      </c>
      <c r="C8" s="89" t="str">
        <f>VLOOKUP(B8,'1.2 HR-Data luong'!A:B,2,0)</f>
        <v>ADS03</v>
      </c>
      <c r="D8" s="89" t="str">
        <f>VLOOKUP($C8,'1.2 HR-Data luong'!$B:$BG,D$5,0)</f>
        <v>BD02 HN</v>
      </c>
      <c r="E8" s="89" t="str">
        <f>VLOOKUP($C8,'1.2 HR-Data luong'!$B:$BG,E$5,0)</f>
        <v>NguyenVanC</v>
      </c>
      <c r="F8" s="89" t="str">
        <f>VLOOKUP($C8,'1.2 HR-Data luong'!$B:$BG,F$5,0)</f>
        <v>Nguyễn Văn C</v>
      </c>
      <c r="G8" s="89" t="str">
        <f>VLOOKUP($C8,'1.2 HR-Data luong'!$B:$BG,G$5,0)</f>
        <v>HN</v>
      </c>
      <c r="H8" s="89" t="str">
        <f>VLOOKUP($C8,'1.2 HR-Data luong'!$B:$BG,H$5,0)</f>
        <v>Trưởng phòng</v>
      </c>
      <c r="I8" s="89" t="str">
        <f>VLOOKUP($C8,'1.2 HR-Data luong'!$B:$BG,I$5,0)</f>
        <v>TP C2</v>
      </c>
      <c r="J8" s="89" t="str">
        <f>VLOOKUP($C8,'1.2 HR-Data luong'!$B:$BG,J$5,0)</f>
        <v>CT</v>
      </c>
      <c r="K8" s="99">
        <v>300000</v>
      </c>
      <c r="L8" s="99">
        <v>3000000</v>
      </c>
      <c r="M8" s="99">
        <v>300000</v>
      </c>
      <c r="N8" s="99">
        <v>0</v>
      </c>
      <c r="O8" s="99">
        <v>30000000</v>
      </c>
      <c r="P8" s="99">
        <v>0</v>
      </c>
      <c r="Q8" s="99">
        <v>50000000</v>
      </c>
      <c r="R8" s="99"/>
    </row>
    <row r="9" spans="1:18" x14ac:dyDescent="0.25">
      <c r="A9" s="89" t="s">
        <v>302</v>
      </c>
      <c r="B9" s="89">
        <v>4</v>
      </c>
      <c r="C9" s="89" t="str">
        <f>VLOOKUP(B9,'1.2 HR-Data luong'!A:B,2,0)</f>
        <v>ADS04</v>
      </c>
      <c r="D9" s="89" t="str">
        <f>VLOOKUP($C9,'1.2 HR-Data luong'!$B:$BG,D$5,0)</f>
        <v>BD02 HN</v>
      </c>
      <c r="E9" s="89" t="str">
        <f>VLOOKUP($C9,'1.2 HR-Data luong'!$B:$BG,E$5,0)</f>
        <v>NguyenVanD</v>
      </c>
      <c r="F9" s="89" t="str">
        <f>VLOOKUP($C9,'1.2 HR-Data luong'!$B:$BG,F$5,0)</f>
        <v>Nguyễn Văn D</v>
      </c>
      <c r="G9" s="89" t="str">
        <f>VLOOKUP($C9,'1.2 HR-Data luong'!$B:$BG,G$5,0)</f>
        <v>HN</v>
      </c>
      <c r="H9" s="89" t="str">
        <f>VLOOKUP($C9,'1.2 HR-Data luong'!$B:$BG,H$5,0)</f>
        <v>Nhân viên</v>
      </c>
      <c r="I9" s="89" t="str">
        <f>VLOOKUP($C9,'1.2 HR-Data luong'!$B:$BG,I$5,0)</f>
        <v>C2</v>
      </c>
      <c r="J9" s="89" t="str">
        <f>VLOOKUP($C9,'1.2 HR-Data luong'!$B:$BG,J$5,0)</f>
        <v>CT</v>
      </c>
      <c r="K9" s="99">
        <v>300000</v>
      </c>
      <c r="L9" s="99">
        <v>4000000</v>
      </c>
      <c r="M9" s="99">
        <v>400000</v>
      </c>
      <c r="N9" s="99">
        <v>0</v>
      </c>
      <c r="O9" s="99">
        <v>40000000</v>
      </c>
      <c r="P9" s="99">
        <v>0</v>
      </c>
      <c r="Q9" s="99">
        <v>50000000</v>
      </c>
      <c r="R9" s="99"/>
    </row>
    <row r="10" spans="1:18" x14ac:dyDescent="0.25">
      <c r="A10" s="89" t="s">
        <v>302</v>
      </c>
      <c r="B10" s="89">
        <v>5</v>
      </c>
      <c r="C10" s="89" t="str">
        <f>VLOOKUP(B10,'1.2 HR-Data luong'!A:B,2,0)</f>
        <v>ADS05</v>
      </c>
      <c r="D10" s="89" t="str">
        <f>VLOOKUP($C10,'1.2 HR-Data luong'!$B:$BG,D$5,0)</f>
        <v>BD02 HN</v>
      </c>
      <c r="E10" s="89" t="str">
        <f>VLOOKUP($C10,'1.2 HR-Data luong'!$B:$BG,E$5,0)</f>
        <v>NguyenVanE</v>
      </c>
      <c r="F10" s="89" t="str">
        <f>VLOOKUP($C10,'1.2 HR-Data luong'!$B:$BG,F$5,0)</f>
        <v>Nguyễn Văn E</v>
      </c>
      <c r="G10" s="89" t="str">
        <f>VLOOKUP($C10,'1.2 HR-Data luong'!$B:$BG,G$5,0)</f>
        <v>HN</v>
      </c>
      <c r="H10" s="89" t="str">
        <f>VLOOKUP($C10,'1.2 HR-Data luong'!$B:$BG,H$5,0)</f>
        <v>Nhân viên</v>
      </c>
      <c r="I10" s="89" t="str">
        <f>VLOOKUP($C10,'1.2 HR-Data luong'!$B:$BG,I$5,0)</f>
        <v>C3</v>
      </c>
      <c r="J10" s="89" t="str">
        <f>VLOOKUP($C10,'1.2 HR-Data luong'!$B:$BG,J$5,0)</f>
        <v>CT</v>
      </c>
      <c r="K10" s="99">
        <v>300000</v>
      </c>
      <c r="L10" s="99">
        <v>5000000</v>
      </c>
      <c r="M10" s="99">
        <v>500000</v>
      </c>
      <c r="N10" s="99">
        <v>0</v>
      </c>
      <c r="O10" s="99">
        <v>50000000</v>
      </c>
      <c r="P10" s="99">
        <v>0</v>
      </c>
      <c r="Q10" s="99">
        <v>50000000</v>
      </c>
      <c r="R10" s="99"/>
    </row>
    <row r="11" spans="1:18" x14ac:dyDescent="0.25">
      <c r="A11" s="89" t="s">
        <v>302</v>
      </c>
      <c r="B11" s="89">
        <v>6</v>
      </c>
      <c r="C11" s="89" t="str">
        <f>VLOOKUP(B11,'1.2 HR-Data luong'!A:B,2,0)</f>
        <v>ADS06</v>
      </c>
      <c r="D11" s="89" t="str">
        <f>VLOOKUP($C11,'1.2 HR-Data luong'!$B:$BG,D$5,0)</f>
        <v>BD03 SG</v>
      </c>
      <c r="E11" s="89" t="str">
        <f>VLOOKUP($C11,'1.2 HR-Data luong'!$B:$BG,E$5,0)</f>
        <v>NguyenVanF</v>
      </c>
      <c r="F11" s="89" t="str">
        <f>VLOOKUP($C11,'1.2 HR-Data luong'!$B:$BG,F$5,0)</f>
        <v>Nguyễn Văn F</v>
      </c>
      <c r="G11" s="89" t="str">
        <f>VLOOKUP($C11,'1.2 HR-Data luong'!$B:$BG,G$5,0)</f>
        <v>HCM</v>
      </c>
      <c r="H11" s="89" t="str">
        <f>VLOOKUP($C11,'1.2 HR-Data luong'!$B:$BG,H$5,0)</f>
        <v>Trưởng phòng</v>
      </c>
      <c r="I11" s="89" t="str">
        <f>VLOOKUP($C11,'1.2 HR-Data luong'!$B:$BG,I$5,0)</f>
        <v>TP C3</v>
      </c>
      <c r="J11" s="89" t="str">
        <f>VLOOKUP($C11,'1.2 HR-Data luong'!$B:$BG,J$5,0)</f>
        <v>CT</v>
      </c>
      <c r="K11" s="99">
        <v>300000</v>
      </c>
      <c r="L11" s="99">
        <v>6000000</v>
      </c>
      <c r="M11" s="99">
        <v>600000</v>
      </c>
      <c r="N11" s="99">
        <v>0</v>
      </c>
      <c r="O11" s="99">
        <v>60000000</v>
      </c>
      <c r="P11" s="99">
        <v>0</v>
      </c>
      <c r="Q11" s="99">
        <v>50000000</v>
      </c>
      <c r="R11" s="99"/>
    </row>
    <row r="12" spans="1:18" x14ac:dyDescent="0.25">
      <c r="A12" s="89" t="s">
        <v>302</v>
      </c>
      <c r="B12" s="89">
        <v>7</v>
      </c>
      <c r="C12" s="89" t="str">
        <f>VLOOKUP(B12,'1.2 HR-Data luong'!A:B,2,0)</f>
        <v>ADS07</v>
      </c>
      <c r="D12" s="89" t="str">
        <f>VLOOKUP($C12,'1.2 HR-Data luong'!$B:$BG,D$5,0)</f>
        <v>BD03 SG</v>
      </c>
      <c r="E12" s="89" t="str">
        <f>VLOOKUP($C12,'1.2 HR-Data luong'!$B:$BG,E$5,0)</f>
        <v>NguyenVanG</v>
      </c>
      <c r="F12" s="89" t="str">
        <f>VLOOKUP($C12,'1.2 HR-Data luong'!$B:$BG,F$5,0)</f>
        <v>Nguyễn Văn G</v>
      </c>
      <c r="G12" s="89" t="str">
        <f>VLOOKUP($C12,'1.2 HR-Data luong'!$B:$BG,G$5,0)</f>
        <v>HCM</v>
      </c>
      <c r="H12" s="89" t="str">
        <f>VLOOKUP($C12,'1.2 HR-Data luong'!$B:$BG,H$5,0)</f>
        <v>Nhân viên</v>
      </c>
      <c r="I12" s="89" t="str">
        <f>VLOOKUP($C12,'1.2 HR-Data luong'!$B:$BG,I$5,0)</f>
        <v>C4</v>
      </c>
      <c r="J12" s="89" t="str">
        <f>VLOOKUP($C12,'1.2 HR-Data luong'!$B:$BG,J$5,0)</f>
        <v>CT</v>
      </c>
      <c r="K12" s="99">
        <v>300000</v>
      </c>
      <c r="L12" s="99">
        <v>7000000</v>
      </c>
      <c r="M12" s="99">
        <v>700000</v>
      </c>
      <c r="N12" s="99">
        <v>0</v>
      </c>
      <c r="O12" s="99">
        <v>70000000</v>
      </c>
      <c r="P12" s="99">
        <v>0</v>
      </c>
      <c r="Q12" s="99">
        <v>50000000</v>
      </c>
      <c r="R12" s="99"/>
    </row>
    <row r="13" spans="1:18" x14ac:dyDescent="0.25">
      <c r="A13" s="89" t="s">
        <v>302</v>
      </c>
      <c r="B13" s="89">
        <v>8</v>
      </c>
      <c r="C13" s="89" t="str">
        <f>VLOOKUP(B13,'1.2 HR-Data luong'!A:B,2,0)</f>
        <v>ADS08</v>
      </c>
      <c r="D13" s="89" t="str">
        <f>VLOOKUP($C13,'1.2 HR-Data luong'!$B:$BG,D$5,0)</f>
        <v>BD03 SG</v>
      </c>
      <c r="E13" s="89" t="str">
        <f>VLOOKUP($C13,'1.2 HR-Data luong'!$B:$BG,E$5,0)</f>
        <v>NguyenVanH</v>
      </c>
      <c r="F13" s="89" t="str">
        <f>VLOOKUP($C13,'1.2 HR-Data luong'!$B:$BG,F$5,0)</f>
        <v>Nguyễn Văn H</v>
      </c>
      <c r="G13" s="89" t="str">
        <f>VLOOKUP($C13,'1.2 HR-Data luong'!$B:$BG,G$5,0)</f>
        <v>HCM</v>
      </c>
      <c r="H13" s="89" t="str">
        <f>VLOOKUP($C13,'1.2 HR-Data luong'!$B:$BG,H$5,0)</f>
        <v>Nhân viên</v>
      </c>
      <c r="I13" s="89" t="str">
        <f>VLOOKUP($C13,'1.2 HR-Data luong'!$B:$BG,I$5,0)</f>
        <v>S1</v>
      </c>
      <c r="J13" s="89" t="str">
        <f>VLOOKUP($C13,'1.2 HR-Data luong'!$B:$BG,J$5,0)</f>
        <v>CT</v>
      </c>
      <c r="K13" s="99">
        <v>300000</v>
      </c>
      <c r="L13" s="99">
        <v>8000000</v>
      </c>
      <c r="M13" s="99">
        <v>800000</v>
      </c>
      <c r="N13" s="99">
        <v>0</v>
      </c>
      <c r="O13" s="99">
        <v>80000000</v>
      </c>
      <c r="P13" s="99">
        <v>0</v>
      </c>
      <c r="Q13" s="99">
        <v>50000000</v>
      </c>
      <c r="R13" s="99"/>
    </row>
    <row r="14" spans="1:18" x14ac:dyDescent="0.25">
      <c r="A14" s="89" t="s">
        <v>302</v>
      </c>
      <c r="B14" s="89">
        <v>9</v>
      </c>
      <c r="C14" s="89" t="str">
        <f>VLOOKUP(B14,'1.2 HR-Data luong'!A:B,2,0)</f>
        <v>ADS09</v>
      </c>
      <c r="D14" s="89" t="str">
        <f>VLOOKUP($C14,'1.2 HR-Data luong'!$B:$BG,D$5,0)</f>
        <v>HR HN</v>
      </c>
      <c r="E14" s="89" t="str">
        <f>VLOOKUP($C14,'1.2 HR-Data luong'!$B:$BG,E$5,0)</f>
        <v>NguyenVanI</v>
      </c>
      <c r="F14" s="89" t="str">
        <f>VLOOKUP($C14,'1.2 HR-Data luong'!$B:$BG,F$5,0)</f>
        <v>Nguyễn Văn I</v>
      </c>
      <c r="G14" s="89" t="str">
        <f>VLOOKUP($C14,'1.2 HR-Data luong'!$B:$BG,G$5,0)</f>
        <v>HN</v>
      </c>
      <c r="H14" s="89" t="str">
        <f>VLOOKUP($C14,'1.2 HR-Data luong'!$B:$BG,H$5,0)</f>
        <v>Trưởng phòng</v>
      </c>
      <c r="I14" s="89" t="str">
        <f>VLOOKUP($C14,'1.2 HR-Data luong'!$B:$BG,I$5,0)</f>
        <v>TP KPC</v>
      </c>
      <c r="J14" s="89" t="str">
        <f>VLOOKUP($C14,'1.2 HR-Data luong'!$B:$BG,J$5,0)</f>
        <v>CT</v>
      </c>
      <c r="K14" s="99">
        <v>300000</v>
      </c>
      <c r="L14" s="99">
        <v>9000000</v>
      </c>
      <c r="M14" s="99">
        <v>900000</v>
      </c>
      <c r="N14" s="99">
        <v>0</v>
      </c>
      <c r="O14" s="99">
        <v>90000000</v>
      </c>
      <c r="P14" s="99">
        <v>0</v>
      </c>
      <c r="Q14" s="99">
        <v>50000000</v>
      </c>
      <c r="R14" s="99"/>
    </row>
    <row r="15" spans="1:18" x14ac:dyDescent="0.25">
      <c r="A15" s="89" t="s">
        <v>302</v>
      </c>
      <c r="B15" s="89">
        <v>10</v>
      </c>
      <c r="C15" s="89" t="str">
        <f>VLOOKUP(B15,'1.2 HR-Data luong'!A:B,2,0)</f>
        <v>ADS10</v>
      </c>
      <c r="D15" s="89" t="str">
        <f>VLOOKUP($C15,'1.2 HR-Data luong'!$B:$BG,D$5,0)</f>
        <v>HR HN</v>
      </c>
      <c r="E15" s="89" t="str">
        <f>VLOOKUP($C15,'1.2 HR-Data luong'!$B:$BG,E$5,0)</f>
        <v>NguyenVanK</v>
      </c>
      <c r="F15" s="89" t="str">
        <f>VLOOKUP($C15,'1.2 HR-Data luong'!$B:$BG,F$5,0)</f>
        <v>Nguyễn Văn K</v>
      </c>
      <c r="G15" s="89" t="str">
        <f>VLOOKUP($C15,'1.2 HR-Data luong'!$B:$BG,G$5,0)</f>
        <v>HN</v>
      </c>
      <c r="H15" s="89" t="str">
        <f>VLOOKUP($C15,'1.2 HR-Data luong'!$B:$BG,H$5,0)</f>
        <v>Nhân viên</v>
      </c>
      <c r="I15" s="89" t="str">
        <f>VLOOKUP($C15,'1.2 HR-Data luong'!$B:$BG,I$5,0)</f>
        <v>C1</v>
      </c>
      <c r="J15" s="89" t="str">
        <f>VLOOKUP($C15,'1.2 HR-Data luong'!$B:$BG,J$5,0)</f>
        <v>CT</v>
      </c>
      <c r="K15" s="99">
        <v>300000</v>
      </c>
      <c r="L15" s="99">
        <v>10000000</v>
      </c>
      <c r="M15" s="99">
        <v>1000000</v>
      </c>
      <c r="N15" s="99">
        <v>0</v>
      </c>
      <c r="O15" s="99">
        <v>100000000</v>
      </c>
      <c r="P15" s="99">
        <v>0</v>
      </c>
      <c r="Q15" s="99">
        <v>50000000</v>
      </c>
      <c r="R15" s="99"/>
    </row>
  </sheetData>
  <mergeCells count="11">
    <mergeCell ref="A3:A4"/>
    <mergeCell ref="H3:H4"/>
    <mergeCell ref="I3:I4"/>
    <mergeCell ref="J3:J4"/>
    <mergeCell ref="K3:R3"/>
    <mergeCell ref="B3:B4"/>
    <mergeCell ref="C3:C4"/>
    <mergeCell ref="D3:D4"/>
    <mergeCell ref="E3:E4"/>
    <mergeCell ref="F3:F4"/>
    <mergeCell ref="G3:G4"/>
  </mergeCells>
  <conditionalFormatting sqref="C3:C5 E5 G5 I5 K5 M5 O5 Q5">
    <cfRule type="duplicateValues" dxfId="9"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5"/>
  <sheetViews>
    <sheetView topLeftCell="C1" zoomScale="85" zoomScaleNormal="85" workbookViewId="0">
      <selection activeCell="S6" sqref="S6"/>
    </sheetView>
  </sheetViews>
  <sheetFormatPr defaultRowHeight="15" x14ac:dyDescent="0.25"/>
  <cols>
    <col min="2" max="2" width="4.85546875" customWidth="1"/>
    <col min="3" max="4" width="8" customWidth="1"/>
    <col min="5" max="6" width="14" customWidth="1"/>
    <col min="8" max="8" width="14.85546875" customWidth="1"/>
    <col min="16" max="16" width="17.140625" customWidth="1"/>
    <col min="19" max="22" width="13.140625" customWidth="1"/>
  </cols>
  <sheetData>
    <row r="1" spans="1:22" x14ac:dyDescent="0.25">
      <c r="A1" s="97" t="s">
        <v>263</v>
      </c>
    </row>
    <row r="2" spans="1:22" x14ac:dyDescent="0.25">
      <c r="B2" s="97"/>
    </row>
    <row r="3" spans="1:22" x14ac:dyDescent="0.25">
      <c r="A3" s="336" t="s">
        <v>469</v>
      </c>
      <c r="B3" s="336" t="s">
        <v>0</v>
      </c>
      <c r="C3" s="336" t="s">
        <v>1</v>
      </c>
      <c r="D3" s="336" t="s">
        <v>2</v>
      </c>
      <c r="E3" s="336" t="s">
        <v>218</v>
      </c>
      <c r="F3" s="336" t="s">
        <v>3</v>
      </c>
      <c r="G3" s="336" t="s">
        <v>4</v>
      </c>
      <c r="H3" s="336" t="s">
        <v>5</v>
      </c>
      <c r="I3" s="336" t="s">
        <v>6</v>
      </c>
      <c r="J3" s="336" t="s">
        <v>7</v>
      </c>
      <c r="K3" s="337" t="s">
        <v>273</v>
      </c>
      <c r="L3" s="338"/>
      <c r="M3" s="338"/>
      <c r="N3" s="338"/>
      <c r="O3" s="338"/>
      <c r="P3" s="338"/>
      <c r="Q3" s="338"/>
      <c r="R3" s="338"/>
      <c r="S3" s="340" t="s">
        <v>274</v>
      </c>
      <c r="T3" s="341"/>
      <c r="U3" s="341"/>
      <c r="V3" s="341"/>
    </row>
    <row r="4" spans="1:22" ht="25.5" x14ac:dyDescent="0.25">
      <c r="A4" s="336"/>
      <c r="B4" s="336"/>
      <c r="C4" s="336"/>
      <c r="D4" s="336"/>
      <c r="E4" s="336"/>
      <c r="F4" s="336"/>
      <c r="G4" s="336"/>
      <c r="H4" s="336"/>
      <c r="I4" s="336"/>
      <c r="J4" s="336"/>
      <c r="K4" s="112" t="s">
        <v>266</v>
      </c>
      <c r="L4" s="112" t="s">
        <v>268</v>
      </c>
      <c r="M4" s="112" t="s">
        <v>267</v>
      </c>
      <c r="N4" s="112" t="s">
        <v>270</v>
      </c>
      <c r="O4" s="112" t="s">
        <v>271</v>
      </c>
      <c r="P4" s="112" t="s">
        <v>272</v>
      </c>
      <c r="Q4" s="112" t="s">
        <v>166</v>
      </c>
      <c r="R4" s="115" t="s">
        <v>264</v>
      </c>
      <c r="S4" s="130" t="s">
        <v>275</v>
      </c>
      <c r="T4" s="129" t="s">
        <v>276</v>
      </c>
      <c r="U4" s="129" t="s">
        <v>277</v>
      </c>
      <c r="V4" s="129" t="s">
        <v>70</v>
      </c>
    </row>
    <row r="5" spans="1:22" x14ac:dyDescent="0.25">
      <c r="A5" s="90"/>
      <c r="B5" s="90"/>
      <c r="C5" s="90">
        <v>1</v>
      </c>
      <c r="D5" s="90">
        <v>2</v>
      </c>
      <c r="E5" s="90">
        <v>3</v>
      </c>
      <c r="F5" s="90">
        <v>4</v>
      </c>
      <c r="G5" s="90">
        <v>5</v>
      </c>
      <c r="H5" s="90">
        <v>6</v>
      </c>
      <c r="I5" s="90">
        <v>7</v>
      </c>
      <c r="J5" s="90">
        <v>8</v>
      </c>
      <c r="K5" s="90">
        <v>9</v>
      </c>
      <c r="L5" s="90">
        <v>10</v>
      </c>
      <c r="M5" s="90">
        <v>11</v>
      </c>
      <c r="N5" s="90">
        <v>12</v>
      </c>
      <c r="O5" s="90">
        <v>13</v>
      </c>
      <c r="P5" s="90">
        <v>14</v>
      </c>
      <c r="Q5" s="90">
        <v>15</v>
      </c>
      <c r="R5" s="90">
        <v>16</v>
      </c>
      <c r="S5" s="90">
        <v>17</v>
      </c>
      <c r="T5" s="90">
        <v>18</v>
      </c>
      <c r="U5" s="90">
        <v>19</v>
      </c>
      <c r="V5" s="90">
        <v>20</v>
      </c>
    </row>
    <row r="6" spans="1:22" x14ac:dyDescent="0.25">
      <c r="A6" s="89" t="s">
        <v>302</v>
      </c>
      <c r="B6" s="89">
        <v>1</v>
      </c>
      <c r="C6" s="89" t="str">
        <f>VLOOKUP(B6,'1.2 HR-Data luong'!A:B,2,0)</f>
        <v>ADS01</v>
      </c>
      <c r="D6" s="89" t="str">
        <f>VLOOKUP($C6,'1.2 HR-Data luong'!$B:$BG,D$5,0)</f>
        <v>BD01 HN</v>
      </c>
      <c r="E6" s="89" t="str">
        <f>VLOOKUP($C6,'1.2 HR-Data luong'!$B:$BG,E$5,0)</f>
        <v>NguyenVanA</v>
      </c>
      <c r="F6" s="89" t="str">
        <f>VLOOKUP($C6,'1.2 HR-Data luong'!$B:$BG,F$5,0)</f>
        <v>Nguyễn Văn A</v>
      </c>
      <c r="G6" s="89" t="str">
        <f>VLOOKUP($C6,'1.2 HR-Data luong'!$B:$BG,G$5,0)</f>
        <v>HN</v>
      </c>
      <c r="H6" s="89" t="str">
        <f>VLOOKUP($C6,'1.2 HR-Data luong'!$B:$BG,H$5,0)</f>
        <v>Trưởng phòng</v>
      </c>
      <c r="I6" s="89" t="str">
        <f>VLOOKUP($C6,'1.2 HR-Data luong'!$B:$BG,I$5,0)</f>
        <v>TP C1</v>
      </c>
      <c r="J6" s="89" t="str">
        <f>VLOOKUP($C6,'1.2 HR-Data luong'!$B:$BG,J$5,0)</f>
        <v>CT</v>
      </c>
      <c r="K6" s="99"/>
      <c r="L6" s="99"/>
      <c r="M6" s="99"/>
      <c r="N6" s="99"/>
      <c r="O6" s="99"/>
      <c r="P6" s="99"/>
      <c r="Q6" s="99"/>
      <c r="R6" s="99"/>
      <c r="S6" s="99">
        <v>10000000</v>
      </c>
      <c r="T6" s="99"/>
      <c r="U6" s="99"/>
      <c r="V6" s="99">
        <v>0</v>
      </c>
    </row>
    <row r="7" spans="1:22" x14ac:dyDescent="0.25">
      <c r="A7" s="89" t="s">
        <v>302</v>
      </c>
      <c r="B7" s="89">
        <v>2</v>
      </c>
      <c r="C7" s="89" t="str">
        <f>VLOOKUP(B7,'1.2 HR-Data luong'!A:B,2,0)</f>
        <v>ADS02</v>
      </c>
      <c r="D7" s="89" t="str">
        <f>VLOOKUP($C7,'1.2 HR-Data luong'!$B:$BG,D$5,0)</f>
        <v>BD01 HN</v>
      </c>
      <c r="E7" s="89" t="str">
        <f>VLOOKUP($C7,'1.2 HR-Data luong'!$B:$BG,E$5,0)</f>
        <v>NguyenVanB</v>
      </c>
      <c r="F7" s="89" t="str">
        <f>VLOOKUP($C7,'1.2 HR-Data luong'!$B:$BG,F$5,0)</f>
        <v>Nguyễn Văn B</v>
      </c>
      <c r="G7" s="89" t="str">
        <f>VLOOKUP($C7,'1.2 HR-Data luong'!$B:$BG,G$5,0)</f>
        <v>HN</v>
      </c>
      <c r="H7" s="89" t="str">
        <f>VLOOKUP($C7,'1.2 HR-Data luong'!$B:$BG,H$5,0)</f>
        <v>Nhân viên</v>
      </c>
      <c r="I7" s="89" t="str">
        <f>VLOOKUP($C7,'1.2 HR-Data luong'!$B:$BG,I$5,0)</f>
        <v>C1</v>
      </c>
      <c r="J7" s="89" t="str">
        <f>VLOOKUP($C7,'1.2 HR-Data luong'!$B:$BG,J$5,0)</f>
        <v>CT</v>
      </c>
      <c r="K7" s="99">
        <v>100000</v>
      </c>
      <c r="L7" s="99">
        <v>50000</v>
      </c>
      <c r="M7" s="99">
        <v>50000</v>
      </c>
      <c r="N7" s="99">
        <v>100000</v>
      </c>
      <c r="O7" s="99">
        <v>15000</v>
      </c>
      <c r="P7" s="99" t="s">
        <v>272</v>
      </c>
      <c r="Q7" s="99">
        <f>SUM(K7:O7)</f>
        <v>315000</v>
      </c>
      <c r="R7" s="99">
        <v>500000</v>
      </c>
      <c r="S7" s="99"/>
      <c r="T7" s="99"/>
      <c r="U7" s="99"/>
      <c r="V7" s="99">
        <v>0</v>
      </c>
    </row>
    <row r="8" spans="1:22" x14ac:dyDescent="0.25">
      <c r="A8" s="89" t="s">
        <v>302</v>
      </c>
      <c r="B8" s="89">
        <v>3</v>
      </c>
      <c r="C8" s="89" t="str">
        <f>VLOOKUP(B8,'1.2 HR-Data luong'!A:B,2,0)</f>
        <v>ADS03</v>
      </c>
      <c r="D8" s="89" t="str">
        <f>VLOOKUP($C8,'1.2 HR-Data luong'!$B:$BG,D$5,0)</f>
        <v>BD02 HN</v>
      </c>
      <c r="E8" s="89" t="str">
        <f>VLOOKUP($C8,'1.2 HR-Data luong'!$B:$BG,E$5,0)</f>
        <v>NguyenVanC</v>
      </c>
      <c r="F8" s="89" t="str">
        <f>VLOOKUP($C8,'1.2 HR-Data luong'!$B:$BG,F$5,0)</f>
        <v>Nguyễn Văn C</v>
      </c>
      <c r="G8" s="89" t="str">
        <f>VLOOKUP($C8,'1.2 HR-Data luong'!$B:$BG,G$5,0)</f>
        <v>HN</v>
      </c>
      <c r="H8" s="89" t="str">
        <f>VLOOKUP($C8,'1.2 HR-Data luong'!$B:$BG,H$5,0)</f>
        <v>Trưởng phòng</v>
      </c>
      <c r="I8" s="89" t="str">
        <f>VLOOKUP($C8,'1.2 HR-Data luong'!$B:$BG,I$5,0)</f>
        <v>TP C2</v>
      </c>
      <c r="J8" s="89" t="str">
        <f>VLOOKUP($C8,'1.2 HR-Data luong'!$B:$BG,J$5,0)</f>
        <v>CT</v>
      </c>
      <c r="K8" s="99"/>
      <c r="L8" s="99"/>
      <c r="M8" s="99"/>
      <c r="N8" s="99"/>
      <c r="O8" s="99"/>
      <c r="P8" s="99"/>
      <c r="Q8" s="99"/>
      <c r="R8" s="99"/>
      <c r="S8" s="99"/>
      <c r="T8" s="99">
        <v>1000000</v>
      </c>
      <c r="U8" s="99"/>
      <c r="V8" s="99">
        <v>0</v>
      </c>
    </row>
    <row r="9" spans="1:22" x14ac:dyDescent="0.25">
      <c r="A9" s="89" t="s">
        <v>302</v>
      </c>
      <c r="B9" s="89">
        <v>4</v>
      </c>
      <c r="C9" s="89" t="str">
        <f>VLOOKUP(B9,'1.2 HR-Data luong'!A:B,2,0)</f>
        <v>ADS04</v>
      </c>
      <c r="D9" s="89" t="str">
        <f>VLOOKUP($C9,'1.2 HR-Data luong'!$B:$BG,D$5,0)</f>
        <v>BD02 HN</v>
      </c>
      <c r="E9" s="89" t="str">
        <f>VLOOKUP($C9,'1.2 HR-Data luong'!$B:$BG,E$5,0)</f>
        <v>NguyenVanD</v>
      </c>
      <c r="F9" s="89" t="str">
        <f>VLOOKUP($C9,'1.2 HR-Data luong'!$B:$BG,F$5,0)</f>
        <v>Nguyễn Văn D</v>
      </c>
      <c r="G9" s="89" t="str">
        <f>VLOOKUP($C9,'1.2 HR-Data luong'!$B:$BG,G$5,0)</f>
        <v>HN</v>
      </c>
      <c r="H9" s="89" t="str">
        <f>VLOOKUP($C9,'1.2 HR-Data luong'!$B:$BG,H$5,0)</f>
        <v>Nhân viên</v>
      </c>
      <c r="I9" s="89" t="str">
        <f>VLOOKUP($C9,'1.2 HR-Data luong'!$B:$BG,I$5,0)</f>
        <v>C2</v>
      </c>
      <c r="J9" s="89" t="str">
        <f>VLOOKUP($C9,'1.2 HR-Data luong'!$B:$BG,J$5,0)</f>
        <v>CT</v>
      </c>
      <c r="K9" s="99"/>
      <c r="L9" s="99"/>
      <c r="M9" s="99"/>
      <c r="N9" s="99"/>
      <c r="O9" s="99"/>
      <c r="P9" s="99"/>
      <c r="Q9" s="99"/>
      <c r="R9" s="99"/>
      <c r="S9" s="99"/>
      <c r="T9" s="99"/>
      <c r="U9" s="99"/>
      <c r="V9" s="99">
        <v>0</v>
      </c>
    </row>
    <row r="10" spans="1:22" x14ac:dyDescent="0.25">
      <c r="A10" s="89" t="s">
        <v>302</v>
      </c>
      <c r="B10" s="89">
        <v>5</v>
      </c>
      <c r="C10" s="89" t="str">
        <f>VLOOKUP(B10,'1.2 HR-Data luong'!A:B,2,0)</f>
        <v>ADS05</v>
      </c>
      <c r="D10" s="89" t="str">
        <f>VLOOKUP($C10,'1.2 HR-Data luong'!$B:$BG,D$5,0)</f>
        <v>BD02 HN</v>
      </c>
      <c r="E10" s="89" t="str">
        <f>VLOOKUP($C10,'1.2 HR-Data luong'!$B:$BG,E$5,0)</f>
        <v>NguyenVanE</v>
      </c>
      <c r="F10" s="89" t="str">
        <f>VLOOKUP($C10,'1.2 HR-Data luong'!$B:$BG,F$5,0)</f>
        <v>Nguyễn Văn E</v>
      </c>
      <c r="G10" s="89" t="str">
        <f>VLOOKUP($C10,'1.2 HR-Data luong'!$B:$BG,G$5,0)</f>
        <v>HN</v>
      </c>
      <c r="H10" s="89" t="str">
        <f>VLOOKUP($C10,'1.2 HR-Data luong'!$B:$BG,H$5,0)</f>
        <v>Nhân viên</v>
      </c>
      <c r="I10" s="89" t="str">
        <f>VLOOKUP($C10,'1.2 HR-Data luong'!$B:$BG,I$5,0)</f>
        <v>C3</v>
      </c>
      <c r="J10" s="89" t="str">
        <f>VLOOKUP($C10,'1.2 HR-Data luong'!$B:$BG,J$5,0)</f>
        <v>CT</v>
      </c>
      <c r="K10" s="99"/>
      <c r="L10" s="99"/>
      <c r="M10" s="99"/>
      <c r="N10" s="99"/>
      <c r="O10" s="99"/>
      <c r="P10" s="99"/>
      <c r="Q10" s="99"/>
      <c r="R10" s="99"/>
      <c r="S10" s="99"/>
      <c r="T10" s="99"/>
      <c r="U10" s="99"/>
      <c r="V10" s="99">
        <v>0</v>
      </c>
    </row>
    <row r="11" spans="1:22" x14ac:dyDescent="0.25">
      <c r="A11" s="89" t="s">
        <v>302</v>
      </c>
      <c r="B11" s="89">
        <v>6</v>
      </c>
      <c r="C11" s="89" t="str">
        <f>VLOOKUP(B11,'1.2 HR-Data luong'!A:B,2,0)</f>
        <v>ADS06</v>
      </c>
      <c r="D11" s="89" t="str">
        <f>VLOOKUP($C11,'1.2 HR-Data luong'!$B:$BG,D$5,0)</f>
        <v>BD03 SG</v>
      </c>
      <c r="E11" s="89" t="str">
        <f>VLOOKUP($C11,'1.2 HR-Data luong'!$B:$BG,E$5,0)</f>
        <v>NguyenVanF</v>
      </c>
      <c r="F11" s="89" t="str">
        <f>VLOOKUP($C11,'1.2 HR-Data luong'!$B:$BG,F$5,0)</f>
        <v>Nguyễn Văn F</v>
      </c>
      <c r="G11" s="89" t="str">
        <f>VLOOKUP($C11,'1.2 HR-Data luong'!$B:$BG,G$5,0)</f>
        <v>HCM</v>
      </c>
      <c r="H11" s="89" t="str">
        <f>VLOOKUP($C11,'1.2 HR-Data luong'!$B:$BG,H$5,0)</f>
        <v>Trưởng phòng</v>
      </c>
      <c r="I11" s="89" t="str">
        <f>VLOOKUP($C11,'1.2 HR-Data luong'!$B:$BG,I$5,0)</f>
        <v>TP C3</v>
      </c>
      <c r="J11" s="89" t="str">
        <f>VLOOKUP($C11,'1.2 HR-Data luong'!$B:$BG,J$5,0)</f>
        <v>CT</v>
      </c>
      <c r="K11" s="99"/>
      <c r="L11" s="99"/>
      <c r="M11" s="99"/>
      <c r="N11" s="99"/>
      <c r="O11" s="99"/>
      <c r="P11" s="99"/>
      <c r="Q11" s="99"/>
      <c r="R11" s="99"/>
      <c r="S11" s="99"/>
      <c r="T11" s="99"/>
      <c r="U11" s="99"/>
      <c r="V11" s="99">
        <v>0</v>
      </c>
    </row>
    <row r="12" spans="1:22" x14ac:dyDescent="0.25">
      <c r="A12" s="89" t="s">
        <v>302</v>
      </c>
      <c r="B12" s="89">
        <v>7</v>
      </c>
      <c r="C12" s="89" t="str">
        <f>VLOOKUP(B12,'1.2 HR-Data luong'!A:B,2,0)</f>
        <v>ADS07</v>
      </c>
      <c r="D12" s="89" t="str">
        <f>VLOOKUP($C12,'1.2 HR-Data luong'!$B:$BG,D$5,0)</f>
        <v>BD03 SG</v>
      </c>
      <c r="E12" s="89" t="str">
        <f>VLOOKUP($C12,'1.2 HR-Data luong'!$B:$BG,E$5,0)</f>
        <v>NguyenVanG</v>
      </c>
      <c r="F12" s="89" t="str">
        <f>VLOOKUP($C12,'1.2 HR-Data luong'!$B:$BG,F$5,0)</f>
        <v>Nguyễn Văn G</v>
      </c>
      <c r="G12" s="89" t="str">
        <f>VLOOKUP($C12,'1.2 HR-Data luong'!$B:$BG,G$5,0)</f>
        <v>HCM</v>
      </c>
      <c r="H12" s="89" t="str">
        <f>VLOOKUP($C12,'1.2 HR-Data luong'!$B:$BG,H$5,0)</f>
        <v>Nhân viên</v>
      </c>
      <c r="I12" s="89" t="str">
        <f>VLOOKUP($C12,'1.2 HR-Data luong'!$B:$BG,I$5,0)</f>
        <v>C4</v>
      </c>
      <c r="J12" s="89" t="str">
        <f>VLOOKUP($C12,'1.2 HR-Data luong'!$B:$BG,J$5,0)</f>
        <v>CT</v>
      </c>
      <c r="K12" s="99"/>
      <c r="L12" s="99"/>
      <c r="M12" s="99"/>
      <c r="N12" s="99"/>
      <c r="O12" s="99"/>
      <c r="P12" s="99"/>
      <c r="Q12" s="99"/>
      <c r="R12" s="99"/>
      <c r="S12" s="99"/>
      <c r="T12" s="99"/>
      <c r="U12" s="99"/>
      <c r="V12" s="99">
        <v>0</v>
      </c>
    </row>
    <row r="13" spans="1:22" x14ac:dyDescent="0.25">
      <c r="A13" s="89" t="s">
        <v>302</v>
      </c>
      <c r="B13" s="89">
        <v>8</v>
      </c>
      <c r="C13" s="89" t="str">
        <f>VLOOKUP(B13,'1.2 HR-Data luong'!A:B,2,0)</f>
        <v>ADS08</v>
      </c>
      <c r="D13" s="89" t="str">
        <f>VLOOKUP($C13,'1.2 HR-Data luong'!$B:$BG,D$5,0)</f>
        <v>BD03 SG</v>
      </c>
      <c r="E13" s="89" t="str">
        <f>VLOOKUP($C13,'1.2 HR-Data luong'!$B:$BG,E$5,0)</f>
        <v>NguyenVanH</v>
      </c>
      <c r="F13" s="89" t="str">
        <f>VLOOKUP($C13,'1.2 HR-Data luong'!$B:$BG,F$5,0)</f>
        <v>Nguyễn Văn H</v>
      </c>
      <c r="G13" s="89" t="str">
        <f>VLOOKUP($C13,'1.2 HR-Data luong'!$B:$BG,G$5,0)</f>
        <v>HCM</v>
      </c>
      <c r="H13" s="89" t="str">
        <f>VLOOKUP($C13,'1.2 HR-Data luong'!$B:$BG,H$5,0)</f>
        <v>Nhân viên</v>
      </c>
      <c r="I13" s="89" t="str">
        <f>VLOOKUP($C13,'1.2 HR-Data luong'!$B:$BG,I$5,0)</f>
        <v>S1</v>
      </c>
      <c r="J13" s="89" t="str">
        <f>VLOOKUP($C13,'1.2 HR-Data luong'!$B:$BG,J$5,0)</f>
        <v>CT</v>
      </c>
      <c r="K13" s="99"/>
      <c r="L13" s="99"/>
      <c r="M13" s="99"/>
      <c r="N13" s="99"/>
      <c r="O13" s="99"/>
      <c r="P13" s="99"/>
      <c r="Q13" s="99"/>
      <c r="R13" s="99"/>
      <c r="S13" s="99"/>
      <c r="T13" s="99"/>
      <c r="U13" s="99">
        <v>2000000</v>
      </c>
      <c r="V13" s="99">
        <v>0</v>
      </c>
    </row>
    <row r="14" spans="1:22" x14ac:dyDescent="0.25">
      <c r="A14" s="89" t="s">
        <v>302</v>
      </c>
      <c r="B14" s="89">
        <v>9</v>
      </c>
      <c r="C14" s="89" t="str">
        <f>VLOOKUP(B14,'1.2 HR-Data luong'!A:B,2,0)</f>
        <v>ADS09</v>
      </c>
      <c r="D14" s="89" t="str">
        <f>VLOOKUP($C14,'1.2 HR-Data luong'!$B:$BG,D$5,0)</f>
        <v>HR HN</v>
      </c>
      <c r="E14" s="89" t="str">
        <f>VLOOKUP($C14,'1.2 HR-Data luong'!$B:$BG,E$5,0)</f>
        <v>NguyenVanI</v>
      </c>
      <c r="F14" s="89" t="str">
        <f>VLOOKUP($C14,'1.2 HR-Data luong'!$B:$BG,F$5,0)</f>
        <v>Nguyễn Văn I</v>
      </c>
      <c r="G14" s="89" t="str">
        <f>VLOOKUP($C14,'1.2 HR-Data luong'!$B:$BG,G$5,0)</f>
        <v>HN</v>
      </c>
      <c r="H14" s="89" t="str">
        <f>VLOOKUP($C14,'1.2 HR-Data luong'!$B:$BG,H$5,0)</f>
        <v>Trưởng phòng</v>
      </c>
      <c r="I14" s="89" t="str">
        <f>VLOOKUP($C14,'1.2 HR-Data luong'!$B:$BG,I$5,0)</f>
        <v>TP KPC</v>
      </c>
      <c r="J14" s="89" t="str">
        <f>VLOOKUP($C14,'1.2 HR-Data luong'!$B:$BG,J$5,0)</f>
        <v>CT</v>
      </c>
      <c r="K14" s="99"/>
      <c r="L14" s="99"/>
      <c r="M14" s="99"/>
      <c r="N14" s="99"/>
      <c r="O14" s="99"/>
      <c r="P14" s="99"/>
      <c r="Q14" s="99"/>
      <c r="R14" s="99"/>
      <c r="S14" s="99"/>
      <c r="T14" s="99"/>
      <c r="U14" s="99"/>
      <c r="V14" s="99">
        <v>1</v>
      </c>
    </row>
    <row r="15" spans="1:22" x14ac:dyDescent="0.25">
      <c r="A15" s="89" t="s">
        <v>302</v>
      </c>
      <c r="B15" s="89">
        <v>10</v>
      </c>
      <c r="C15" s="89" t="str">
        <f>VLOOKUP(B15,'1.2 HR-Data luong'!A:B,2,0)</f>
        <v>ADS10</v>
      </c>
      <c r="D15" s="89" t="str">
        <f>VLOOKUP($C15,'1.2 HR-Data luong'!$B:$BG,D$5,0)</f>
        <v>HR HN</v>
      </c>
      <c r="E15" s="89" t="str">
        <f>VLOOKUP($C15,'1.2 HR-Data luong'!$B:$BG,E$5,0)</f>
        <v>NguyenVanK</v>
      </c>
      <c r="F15" s="89" t="str">
        <f>VLOOKUP($C15,'1.2 HR-Data luong'!$B:$BG,F$5,0)</f>
        <v>Nguyễn Văn K</v>
      </c>
      <c r="G15" s="89" t="str">
        <f>VLOOKUP($C15,'1.2 HR-Data luong'!$B:$BG,G$5,0)</f>
        <v>HN</v>
      </c>
      <c r="H15" s="89" t="str">
        <f>VLOOKUP($C15,'1.2 HR-Data luong'!$B:$BG,H$5,0)</f>
        <v>Nhân viên</v>
      </c>
      <c r="I15" s="89" t="str">
        <f>VLOOKUP($C15,'1.2 HR-Data luong'!$B:$BG,I$5,0)</f>
        <v>C1</v>
      </c>
      <c r="J15" s="89" t="str">
        <f>VLOOKUP($C15,'1.2 HR-Data luong'!$B:$BG,J$5,0)</f>
        <v>CT</v>
      </c>
      <c r="K15" s="99"/>
      <c r="L15" s="99"/>
      <c r="M15" s="99"/>
      <c r="N15" s="99"/>
      <c r="O15" s="99"/>
      <c r="P15" s="99"/>
      <c r="Q15" s="99"/>
      <c r="R15" s="99"/>
      <c r="S15" s="99"/>
      <c r="T15" s="99"/>
      <c r="U15" s="99"/>
      <c r="V15" s="99">
        <v>2</v>
      </c>
    </row>
  </sheetData>
  <mergeCells count="12">
    <mergeCell ref="A3:A4"/>
    <mergeCell ref="H3:H4"/>
    <mergeCell ref="I3:I4"/>
    <mergeCell ref="J3:J4"/>
    <mergeCell ref="K3:R3"/>
    <mergeCell ref="S3:V3"/>
    <mergeCell ref="G3:G4"/>
    <mergeCell ref="B3:B4"/>
    <mergeCell ref="C3:C4"/>
    <mergeCell ref="D3:D4"/>
    <mergeCell ref="E3:E4"/>
    <mergeCell ref="F3:F4"/>
  </mergeCells>
  <conditionalFormatting sqref="C3:C5 E5 G5 I5 K5 M5 O5 Q5 S5 U5">
    <cfRule type="duplicateValues" dxfId="8"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5"/>
  <sheetViews>
    <sheetView zoomScale="85" zoomScaleNormal="85" workbookViewId="0">
      <selection activeCell="R6" sqref="R6"/>
    </sheetView>
  </sheetViews>
  <sheetFormatPr defaultRowHeight="15" x14ac:dyDescent="0.25"/>
  <cols>
    <col min="2" max="2" width="4.42578125" customWidth="1"/>
    <col min="3" max="3" width="6.7109375" customWidth="1"/>
    <col min="4" max="4" width="6.42578125" customWidth="1"/>
    <col min="5" max="6" width="14" customWidth="1"/>
    <col min="7" max="7" width="6.85546875" customWidth="1"/>
    <col min="8" max="8" width="15.28515625" customWidth="1"/>
    <col min="9" max="10" width="6.7109375" customWidth="1"/>
    <col min="11" max="12" width="12.5703125" customWidth="1"/>
    <col min="13" max="13" width="12.5703125" style="93" customWidth="1"/>
    <col min="14" max="14" width="21.140625" customWidth="1"/>
    <col min="18" max="18" width="14.28515625" bestFit="1" customWidth="1"/>
  </cols>
  <sheetData>
    <row r="1" spans="1:18" x14ac:dyDescent="0.25">
      <c r="A1" s="97" t="s">
        <v>223</v>
      </c>
    </row>
    <row r="2" spans="1:18" x14ac:dyDescent="0.25">
      <c r="B2" s="97"/>
    </row>
    <row r="3" spans="1:18" s="91" customFormat="1" ht="19.5" customHeight="1" x14ac:dyDescent="0.25">
      <c r="A3" s="336" t="s">
        <v>469</v>
      </c>
      <c r="B3" s="336" t="s">
        <v>0</v>
      </c>
      <c r="C3" s="336" t="s">
        <v>1</v>
      </c>
      <c r="D3" s="336" t="s">
        <v>2</v>
      </c>
      <c r="E3" s="336" t="s">
        <v>218</v>
      </c>
      <c r="F3" s="336" t="s">
        <v>3</v>
      </c>
      <c r="G3" s="336" t="s">
        <v>4</v>
      </c>
      <c r="H3" s="336" t="s">
        <v>5</v>
      </c>
      <c r="I3" s="336" t="s">
        <v>6</v>
      </c>
      <c r="J3" s="336" t="s">
        <v>7</v>
      </c>
      <c r="K3" s="322" t="s">
        <v>160</v>
      </c>
      <c r="L3" s="323"/>
      <c r="M3" s="323"/>
      <c r="N3" s="324"/>
      <c r="O3" s="325" t="s">
        <v>162</v>
      </c>
      <c r="P3" s="325"/>
      <c r="Q3" s="325"/>
      <c r="R3" s="342" t="s">
        <v>222</v>
      </c>
    </row>
    <row r="4" spans="1:18" s="91" customFormat="1" ht="28.5" customHeight="1" x14ac:dyDescent="0.25">
      <c r="A4" s="336"/>
      <c r="B4" s="336"/>
      <c r="C4" s="336"/>
      <c r="D4" s="336"/>
      <c r="E4" s="336"/>
      <c r="F4" s="336"/>
      <c r="G4" s="336"/>
      <c r="H4" s="336"/>
      <c r="I4" s="336"/>
      <c r="J4" s="336"/>
      <c r="K4" s="8" t="s">
        <v>174</v>
      </c>
      <c r="L4" s="8" t="s">
        <v>175</v>
      </c>
      <c r="M4" s="9" t="s">
        <v>176</v>
      </c>
      <c r="N4" s="9" t="s">
        <v>177</v>
      </c>
      <c r="O4" s="15" t="s">
        <v>190</v>
      </c>
      <c r="P4" s="15" t="s">
        <v>191</v>
      </c>
      <c r="Q4" s="10" t="s">
        <v>179</v>
      </c>
      <c r="R4" s="343"/>
    </row>
    <row r="5" spans="1:18" x14ac:dyDescent="0.25">
      <c r="A5" s="90"/>
      <c r="B5" s="90"/>
      <c r="C5" s="90">
        <v>1</v>
      </c>
      <c r="D5" s="90">
        <v>2</v>
      </c>
      <c r="E5" s="90">
        <v>3</v>
      </c>
      <c r="F5" s="90">
        <v>4</v>
      </c>
      <c r="G5" s="90">
        <v>5</v>
      </c>
      <c r="H5" s="90">
        <v>6</v>
      </c>
      <c r="I5" s="90">
        <v>7</v>
      </c>
      <c r="J5" s="90">
        <v>8</v>
      </c>
      <c r="K5" s="90">
        <v>9</v>
      </c>
      <c r="L5" s="90">
        <v>10</v>
      </c>
      <c r="M5" s="90">
        <v>11</v>
      </c>
      <c r="N5" s="90">
        <v>12</v>
      </c>
      <c r="O5" s="90">
        <v>13</v>
      </c>
      <c r="P5" s="90">
        <v>14</v>
      </c>
      <c r="Q5" s="90">
        <v>15</v>
      </c>
      <c r="R5" s="90">
        <v>16</v>
      </c>
    </row>
    <row r="6" spans="1:18" x14ac:dyDescent="0.25">
      <c r="A6" s="89" t="s">
        <v>302</v>
      </c>
      <c r="B6" s="89">
        <v>1</v>
      </c>
      <c r="C6" s="89" t="str">
        <f>VLOOKUP(B6,'1.2 HR-Data luong'!A:B,2,0)</f>
        <v>ADS01</v>
      </c>
      <c r="D6" s="89" t="str">
        <f>VLOOKUP($C6,'1.2 HR-Data luong'!$B:$BG,D$5,0)</f>
        <v>BD01 HN</v>
      </c>
      <c r="E6" s="89" t="str">
        <f>VLOOKUP($C6,'1.2 HR-Data luong'!$B:$BG,E$5,0)</f>
        <v>NguyenVanA</v>
      </c>
      <c r="F6" s="89" t="str">
        <f>VLOOKUP($C6,'1.2 HR-Data luong'!$B:$BG,F$5,0)</f>
        <v>Nguyễn Văn A</v>
      </c>
      <c r="G6" s="89" t="str">
        <f>VLOOKUP($C6,'1.2 HR-Data luong'!$B:$BG,G$5,0)</f>
        <v>HN</v>
      </c>
      <c r="H6" s="89" t="str">
        <f>VLOOKUP($C6,'1.2 HR-Data luong'!$B:$BG,H$5,0)</f>
        <v>Trưởng phòng</v>
      </c>
      <c r="I6" s="89" t="str">
        <f>VLOOKUP($C6,'1.2 HR-Data luong'!$B:$BG,I$5,0)</f>
        <v>TP C1</v>
      </c>
      <c r="J6" s="89" t="str">
        <f>VLOOKUP($C6,'1.2 HR-Data luong'!$B:$BG,J$5,0)</f>
        <v>CT</v>
      </c>
      <c r="K6" s="95">
        <f>VLOOKUP($C6,'1.2 HR-Data luong'!$B:$BG,'1.2 HR-Data luong'!L$5,0)</f>
        <v>1000000</v>
      </c>
      <c r="L6" s="95">
        <f>VLOOKUP($C6,'1.2 HR-Data luong'!$B:$BG,'1.2 HR-Data luong'!M$5,0)</f>
        <v>5000000</v>
      </c>
      <c r="M6" s="92">
        <f>VLOOKUP($C6,'1.2 HR-Data luong'!$B:$BG,'1.2 HR-Data luong'!N$5,0)</f>
        <v>42919</v>
      </c>
      <c r="N6" s="89" t="str">
        <f>VLOOKUP($C6,'1.2 HR-Data luong'!$B:$BG,'1.2 HR-Data luong'!O$5,0)</f>
        <v>Tăng lương do tăng cấp</v>
      </c>
      <c r="O6" s="94">
        <f>VLOOKUP($C6,'1.2 HR-Data luong'!$B:$BG,'1.2 HR-Data luong'!P$5,0)</f>
        <v>4</v>
      </c>
      <c r="P6" s="94">
        <f>VLOOKUP($C6,'1.2 HR-Data luong'!$B:$BG,'1.2 HR-Data luong'!Q$5,0)</f>
        <v>18.5</v>
      </c>
      <c r="Q6" s="94">
        <f>VLOOKUP($C6,'1.2 HR-Data luong'!$B:$BG,'1.2 HR-Data luong'!R$5,0)</f>
        <v>20.5</v>
      </c>
      <c r="R6" s="96">
        <f>(K6*O6+L6*P6)/Q6</f>
        <v>4707317.0731707318</v>
      </c>
    </row>
    <row r="7" spans="1:18" x14ac:dyDescent="0.25">
      <c r="A7" s="89" t="s">
        <v>302</v>
      </c>
      <c r="B7" s="89">
        <v>2</v>
      </c>
      <c r="C7" s="89" t="str">
        <f>VLOOKUP(B7,'1.2 HR-Data luong'!A:B,2,0)</f>
        <v>ADS02</v>
      </c>
      <c r="D7" s="89" t="str">
        <f>VLOOKUP($C7,'1.2 HR-Data luong'!$B:$BG,D$5,0)</f>
        <v>BD01 HN</v>
      </c>
      <c r="E7" s="89" t="str">
        <f>VLOOKUP($C7,'1.2 HR-Data luong'!$B:$BG,E$5,0)</f>
        <v>NguyenVanB</v>
      </c>
      <c r="F7" s="89" t="str">
        <f>VLOOKUP($C7,'1.2 HR-Data luong'!$B:$BG,F$5,0)</f>
        <v>Nguyễn Văn B</v>
      </c>
      <c r="G7" s="89" t="str">
        <f>VLOOKUP($C7,'1.2 HR-Data luong'!$B:$BG,G$5,0)</f>
        <v>HN</v>
      </c>
      <c r="H7" s="89" t="str">
        <f>VLOOKUP($C7,'1.2 HR-Data luong'!$B:$BG,H$5,0)</f>
        <v>Nhân viên</v>
      </c>
      <c r="I7" s="89" t="str">
        <f>VLOOKUP($C7,'1.2 HR-Data luong'!$B:$BG,I$5,0)</f>
        <v>C1</v>
      </c>
      <c r="J7" s="89" t="str">
        <f>VLOOKUP($C7,'1.2 HR-Data luong'!$B:$BG,J$5,0)</f>
        <v>CT</v>
      </c>
      <c r="K7" s="95">
        <f>VLOOKUP($C7,'1.2 HR-Data luong'!$B:$BG,'1.2 HR-Data luong'!L$5,0)</f>
        <v>2000000</v>
      </c>
      <c r="L7" s="95">
        <f>VLOOKUP($C7,'1.2 HR-Data luong'!$B:$BG,'1.2 HR-Data luong'!M$5,0)</f>
        <v>0</v>
      </c>
      <c r="M7" s="92">
        <f>VLOOKUP($C7,'1.2 HR-Data luong'!$B:$BG,'1.2 HR-Data luong'!N$5,0)</f>
        <v>0</v>
      </c>
      <c r="N7" s="89">
        <f>VLOOKUP($C7,'1.2 HR-Data luong'!$B:$BG,'1.2 HR-Data luong'!O$5,0)</f>
        <v>0</v>
      </c>
      <c r="O7" s="94">
        <f>VLOOKUP($C7,'1.2 HR-Data luong'!$B:$BG,'1.2 HR-Data luong'!P$5,0)</f>
        <v>22.5</v>
      </c>
      <c r="P7" s="94">
        <f>VLOOKUP($C7,'1.2 HR-Data luong'!$B:$BG,'1.2 HR-Data luong'!Q$5,0)</f>
        <v>0</v>
      </c>
      <c r="Q7" s="94">
        <f>VLOOKUP($C7,'1.2 HR-Data luong'!$B:$BG,'1.2 HR-Data luong'!R$5,0)</f>
        <v>20.5</v>
      </c>
      <c r="R7" s="96">
        <f t="shared" ref="R7:R15" si="0">(K7*O7+L7*P7)/Q7</f>
        <v>2195121.9512195121</v>
      </c>
    </row>
    <row r="8" spans="1:18" x14ac:dyDescent="0.25">
      <c r="A8" s="89" t="s">
        <v>302</v>
      </c>
      <c r="B8" s="89">
        <v>3</v>
      </c>
      <c r="C8" s="89" t="str">
        <f>VLOOKUP(B8,'1.2 HR-Data luong'!A:B,2,0)</f>
        <v>ADS03</v>
      </c>
      <c r="D8" s="89" t="str">
        <f>VLOOKUP($C8,'1.2 HR-Data luong'!$B:$BG,D$5,0)</f>
        <v>BD02 HN</v>
      </c>
      <c r="E8" s="89" t="str">
        <f>VLOOKUP($C8,'1.2 HR-Data luong'!$B:$BG,E$5,0)</f>
        <v>NguyenVanC</v>
      </c>
      <c r="F8" s="89" t="str">
        <f>VLOOKUP($C8,'1.2 HR-Data luong'!$B:$BG,F$5,0)</f>
        <v>Nguyễn Văn C</v>
      </c>
      <c r="G8" s="89" t="str">
        <f>VLOOKUP($C8,'1.2 HR-Data luong'!$B:$BG,G$5,0)</f>
        <v>HN</v>
      </c>
      <c r="H8" s="89" t="str">
        <f>VLOOKUP($C8,'1.2 HR-Data luong'!$B:$BG,H$5,0)</f>
        <v>Trưởng phòng</v>
      </c>
      <c r="I8" s="89" t="str">
        <f>VLOOKUP($C8,'1.2 HR-Data luong'!$B:$BG,I$5,0)</f>
        <v>TP C2</v>
      </c>
      <c r="J8" s="89" t="str">
        <f>VLOOKUP($C8,'1.2 HR-Data luong'!$B:$BG,J$5,0)</f>
        <v>CT</v>
      </c>
      <c r="K8" s="95">
        <f>VLOOKUP($C8,'1.2 HR-Data luong'!$B:$BG,'1.2 HR-Data luong'!L$5,0)</f>
        <v>3000000</v>
      </c>
      <c r="L8" s="95">
        <f>VLOOKUP($C8,'1.2 HR-Data luong'!$B:$BG,'1.2 HR-Data luong'!M$5,0)</f>
        <v>0</v>
      </c>
      <c r="M8" s="92">
        <f>VLOOKUP($C8,'1.2 HR-Data luong'!$B:$BG,'1.2 HR-Data luong'!N$5,0)</f>
        <v>0</v>
      </c>
      <c r="N8" s="89">
        <f>VLOOKUP($C8,'1.2 HR-Data luong'!$B:$BG,'1.2 HR-Data luong'!O$5,0)</f>
        <v>0</v>
      </c>
      <c r="O8" s="94">
        <f>VLOOKUP($C8,'1.2 HR-Data luong'!$B:$BG,'1.2 HR-Data luong'!P$5,0)</f>
        <v>22.5</v>
      </c>
      <c r="P8" s="94">
        <f>VLOOKUP($C8,'1.2 HR-Data luong'!$B:$BG,'1.2 HR-Data luong'!Q$5,0)</f>
        <v>0</v>
      </c>
      <c r="Q8" s="94">
        <f>VLOOKUP($C8,'1.2 HR-Data luong'!$B:$BG,'1.2 HR-Data luong'!R$5,0)</f>
        <v>20.5</v>
      </c>
      <c r="R8" s="96">
        <f t="shared" si="0"/>
        <v>3292682.9268292682</v>
      </c>
    </row>
    <row r="9" spans="1:18" x14ac:dyDescent="0.25">
      <c r="A9" s="89" t="s">
        <v>302</v>
      </c>
      <c r="B9" s="89">
        <v>4</v>
      </c>
      <c r="C9" s="89" t="str">
        <f>VLOOKUP(B9,'1.2 HR-Data luong'!A:B,2,0)</f>
        <v>ADS04</v>
      </c>
      <c r="D9" s="89" t="str">
        <f>VLOOKUP($C9,'1.2 HR-Data luong'!$B:$BG,D$5,0)</f>
        <v>BD02 HN</v>
      </c>
      <c r="E9" s="89" t="str">
        <f>VLOOKUP($C9,'1.2 HR-Data luong'!$B:$BG,E$5,0)</f>
        <v>NguyenVanD</v>
      </c>
      <c r="F9" s="89" t="str">
        <f>VLOOKUP($C9,'1.2 HR-Data luong'!$B:$BG,F$5,0)</f>
        <v>Nguyễn Văn D</v>
      </c>
      <c r="G9" s="89" t="str">
        <f>VLOOKUP($C9,'1.2 HR-Data luong'!$B:$BG,G$5,0)</f>
        <v>HN</v>
      </c>
      <c r="H9" s="89" t="str">
        <f>VLOOKUP($C9,'1.2 HR-Data luong'!$B:$BG,H$5,0)</f>
        <v>Nhân viên</v>
      </c>
      <c r="I9" s="89" t="str">
        <f>VLOOKUP($C9,'1.2 HR-Data luong'!$B:$BG,I$5,0)</f>
        <v>C2</v>
      </c>
      <c r="J9" s="89" t="str">
        <f>VLOOKUP($C9,'1.2 HR-Data luong'!$B:$BG,J$5,0)</f>
        <v>CT</v>
      </c>
      <c r="K9" s="95">
        <f>VLOOKUP($C9,'1.2 HR-Data luong'!$B:$BG,'1.2 HR-Data luong'!L$5,0)</f>
        <v>4000000</v>
      </c>
      <c r="L9" s="95">
        <f>VLOOKUP($C9,'1.2 HR-Data luong'!$B:$BG,'1.2 HR-Data luong'!M$5,0)</f>
        <v>0</v>
      </c>
      <c r="M9" s="92">
        <f>VLOOKUP($C9,'1.2 HR-Data luong'!$B:$BG,'1.2 HR-Data luong'!N$5,0)</f>
        <v>0</v>
      </c>
      <c r="N9" s="89">
        <f>VLOOKUP($C9,'1.2 HR-Data luong'!$B:$BG,'1.2 HR-Data luong'!O$5,0)</f>
        <v>0</v>
      </c>
      <c r="O9" s="94">
        <f>VLOOKUP($C9,'1.2 HR-Data luong'!$B:$BG,'1.2 HR-Data luong'!P$5,0)</f>
        <v>22.5</v>
      </c>
      <c r="P9" s="94">
        <f>VLOOKUP($C9,'1.2 HR-Data luong'!$B:$BG,'1.2 HR-Data luong'!Q$5,0)</f>
        <v>0</v>
      </c>
      <c r="Q9" s="94">
        <f>VLOOKUP($C9,'1.2 HR-Data luong'!$B:$BG,'1.2 HR-Data luong'!R$5,0)</f>
        <v>20.5</v>
      </c>
      <c r="R9" s="96">
        <f t="shared" si="0"/>
        <v>4390243.9024390243</v>
      </c>
    </row>
    <row r="10" spans="1:18" x14ac:dyDescent="0.25">
      <c r="A10" s="89" t="s">
        <v>302</v>
      </c>
      <c r="B10" s="89">
        <v>5</v>
      </c>
      <c r="C10" s="89" t="str">
        <f>VLOOKUP(B10,'1.2 HR-Data luong'!A:B,2,0)</f>
        <v>ADS05</v>
      </c>
      <c r="D10" s="89" t="str">
        <f>VLOOKUP($C10,'1.2 HR-Data luong'!$B:$BG,D$5,0)</f>
        <v>BD02 HN</v>
      </c>
      <c r="E10" s="89" t="str">
        <f>VLOOKUP($C10,'1.2 HR-Data luong'!$B:$BG,E$5,0)</f>
        <v>NguyenVanE</v>
      </c>
      <c r="F10" s="89" t="str">
        <f>VLOOKUP($C10,'1.2 HR-Data luong'!$B:$BG,F$5,0)</f>
        <v>Nguyễn Văn E</v>
      </c>
      <c r="G10" s="89" t="str">
        <f>VLOOKUP($C10,'1.2 HR-Data luong'!$B:$BG,G$5,0)</f>
        <v>HN</v>
      </c>
      <c r="H10" s="89" t="str">
        <f>VLOOKUP($C10,'1.2 HR-Data luong'!$B:$BG,H$5,0)</f>
        <v>Nhân viên</v>
      </c>
      <c r="I10" s="89" t="str">
        <f>VLOOKUP($C10,'1.2 HR-Data luong'!$B:$BG,I$5,0)</f>
        <v>C3</v>
      </c>
      <c r="J10" s="89" t="str">
        <f>VLOOKUP($C10,'1.2 HR-Data luong'!$B:$BG,J$5,0)</f>
        <v>CT</v>
      </c>
      <c r="K10" s="95">
        <f>VLOOKUP($C10,'1.2 HR-Data luong'!$B:$BG,'1.2 HR-Data luong'!L$5,0)</f>
        <v>5000000</v>
      </c>
      <c r="L10" s="95">
        <f>VLOOKUP($C10,'1.2 HR-Data luong'!$B:$BG,'1.2 HR-Data luong'!M$5,0)</f>
        <v>10000000</v>
      </c>
      <c r="M10" s="92">
        <f>VLOOKUP($C10,'1.2 HR-Data luong'!$B:$BG,'1.2 HR-Data luong'!N$5,0)</f>
        <v>42917</v>
      </c>
      <c r="N10" s="89" t="str">
        <f>VLOOKUP($C10,'1.2 HR-Data luong'!$B:$BG,'1.2 HR-Data luong'!O$5,0)</f>
        <v>Tăng lương do tăng cấp</v>
      </c>
      <c r="O10" s="94">
        <f>VLOOKUP($C10,'1.2 HR-Data luong'!$B:$BG,'1.2 HR-Data luong'!P$5,0)</f>
        <v>2</v>
      </c>
      <c r="P10" s="94">
        <f>VLOOKUP($C10,'1.2 HR-Data luong'!$B:$BG,'1.2 HR-Data luong'!Q$5,0)</f>
        <v>20.5</v>
      </c>
      <c r="Q10" s="94">
        <f>VLOOKUP($C10,'1.2 HR-Data luong'!$B:$BG,'1.2 HR-Data luong'!R$5,0)</f>
        <v>20.5</v>
      </c>
      <c r="R10" s="96">
        <f t="shared" si="0"/>
        <v>10487804.878048781</v>
      </c>
    </row>
    <row r="11" spans="1:18" x14ac:dyDescent="0.25">
      <c r="A11" s="89" t="s">
        <v>302</v>
      </c>
      <c r="B11" s="89">
        <v>6</v>
      </c>
      <c r="C11" s="89" t="str">
        <f>VLOOKUP(B11,'1.2 HR-Data luong'!A:B,2,0)</f>
        <v>ADS06</v>
      </c>
      <c r="D11" s="89" t="str">
        <f>VLOOKUP($C11,'1.2 HR-Data luong'!$B:$BG,D$5,0)</f>
        <v>BD03 SG</v>
      </c>
      <c r="E11" s="89" t="str">
        <f>VLOOKUP($C11,'1.2 HR-Data luong'!$B:$BG,E$5,0)</f>
        <v>NguyenVanF</v>
      </c>
      <c r="F11" s="89" t="str">
        <f>VLOOKUP($C11,'1.2 HR-Data luong'!$B:$BG,F$5,0)</f>
        <v>Nguyễn Văn F</v>
      </c>
      <c r="G11" s="89" t="str">
        <f>VLOOKUP($C11,'1.2 HR-Data luong'!$B:$BG,G$5,0)</f>
        <v>HCM</v>
      </c>
      <c r="H11" s="89" t="str">
        <f>VLOOKUP($C11,'1.2 HR-Data luong'!$B:$BG,H$5,0)</f>
        <v>Trưởng phòng</v>
      </c>
      <c r="I11" s="89" t="str">
        <f>VLOOKUP($C11,'1.2 HR-Data luong'!$B:$BG,I$5,0)</f>
        <v>TP C3</v>
      </c>
      <c r="J11" s="89" t="str">
        <f>VLOOKUP($C11,'1.2 HR-Data luong'!$B:$BG,J$5,0)</f>
        <v>CT</v>
      </c>
      <c r="K11" s="95">
        <f>VLOOKUP($C11,'1.2 HR-Data luong'!$B:$BG,'1.2 HR-Data luong'!L$5,0)</f>
        <v>6000000</v>
      </c>
      <c r="L11" s="95">
        <f>VLOOKUP($C11,'1.2 HR-Data luong'!$B:$BG,'1.2 HR-Data luong'!M$5,0)</f>
        <v>0</v>
      </c>
      <c r="M11" s="92">
        <f>VLOOKUP($C11,'1.2 HR-Data luong'!$B:$BG,'1.2 HR-Data luong'!N$5,0)</f>
        <v>0</v>
      </c>
      <c r="N11" s="89">
        <f>VLOOKUP($C11,'1.2 HR-Data luong'!$B:$BG,'1.2 HR-Data luong'!O$5,0)</f>
        <v>0</v>
      </c>
      <c r="O11" s="94">
        <f>VLOOKUP($C11,'1.2 HR-Data luong'!$B:$BG,'1.2 HR-Data luong'!P$5,0)</f>
        <v>22.5</v>
      </c>
      <c r="P11" s="94">
        <f>VLOOKUP($C11,'1.2 HR-Data luong'!$B:$BG,'1.2 HR-Data luong'!Q$5,0)</f>
        <v>0</v>
      </c>
      <c r="Q11" s="94">
        <f>VLOOKUP($C11,'1.2 HR-Data luong'!$B:$BG,'1.2 HR-Data luong'!R$5,0)</f>
        <v>22.5</v>
      </c>
      <c r="R11" s="96">
        <f t="shared" si="0"/>
        <v>6000000</v>
      </c>
    </row>
    <row r="12" spans="1:18" x14ac:dyDescent="0.25">
      <c r="A12" s="89" t="s">
        <v>302</v>
      </c>
      <c r="B12" s="89">
        <v>7</v>
      </c>
      <c r="C12" s="89" t="str">
        <f>VLOOKUP(B12,'1.2 HR-Data luong'!A:B,2,0)</f>
        <v>ADS07</v>
      </c>
      <c r="D12" s="89" t="str">
        <f>VLOOKUP($C12,'1.2 HR-Data luong'!$B:$BG,D$5,0)</f>
        <v>BD03 SG</v>
      </c>
      <c r="E12" s="89" t="str">
        <f>VLOOKUP($C12,'1.2 HR-Data luong'!$B:$BG,E$5,0)</f>
        <v>NguyenVanG</v>
      </c>
      <c r="F12" s="89" t="str">
        <f>VLOOKUP($C12,'1.2 HR-Data luong'!$B:$BG,F$5,0)</f>
        <v>Nguyễn Văn G</v>
      </c>
      <c r="G12" s="89" t="str">
        <f>VLOOKUP($C12,'1.2 HR-Data luong'!$B:$BG,G$5,0)</f>
        <v>HCM</v>
      </c>
      <c r="H12" s="89" t="str">
        <f>VLOOKUP($C12,'1.2 HR-Data luong'!$B:$BG,H$5,0)</f>
        <v>Nhân viên</v>
      </c>
      <c r="I12" s="89" t="str">
        <f>VLOOKUP($C12,'1.2 HR-Data luong'!$B:$BG,I$5,0)</f>
        <v>C4</v>
      </c>
      <c r="J12" s="89" t="str">
        <f>VLOOKUP($C12,'1.2 HR-Data luong'!$B:$BG,J$5,0)</f>
        <v>CT</v>
      </c>
      <c r="K12" s="95">
        <f>VLOOKUP($C12,'1.2 HR-Data luong'!$B:$BG,'1.2 HR-Data luong'!L$5,0)</f>
        <v>7000000</v>
      </c>
      <c r="L12" s="95">
        <f>VLOOKUP($C12,'1.2 HR-Data luong'!$B:$BG,'1.2 HR-Data luong'!M$5,0)</f>
        <v>0</v>
      </c>
      <c r="M12" s="92">
        <f>VLOOKUP($C12,'1.2 HR-Data luong'!$B:$BG,'1.2 HR-Data luong'!N$5,0)</f>
        <v>0</v>
      </c>
      <c r="N12" s="89">
        <f>VLOOKUP($C12,'1.2 HR-Data luong'!$B:$BG,'1.2 HR-Data luong'!O$5,0)</f>
        <v>0</v>
      </c>
      <c r="O12" s="94">
        <f>VLOOKUP($C12,'1.2 HR-Data luong'!$B:$BG,'1.2 HR-Data luong'!P$5,0)</f>
        <v>22.5</v>
      </c>
      <c r="P12" s="94">
        <f>VLOOKUP($C12,'1.2 HR-Data luong'!$B:$BG,'1.2 HR-Data luong'!Q$5,0)</f>
        <v>0</v>
      </c>
      <c r="Q12" s="94">
        <f>VLOOKUP($C12,'1.2 HR-Data luong'!$B:$BG,'1.2 HR-Data luong'!R$5,0)</f>
        <v>22.5</v>
      </c>
      <c r="R12" s="96">
        <f t="shared" si="0"/>
        <v>7000000</v>
      </c>
    </row>
    <row r="13" spans="1:18" x14ac:dyDescent="0.25">
      <c r="A13" s="89" t="s">
        <v>302</v>
      </c>
      <c r="B13" s="89">
        <v>8</v>
      </c>
      <c r="C13" s="89" t="str">
        <f>VLOOKUP(B13,'1.2 HR-Data luong'!A:B,2,0)</f>
        <v>ADS08</v>
      </c>
      <c r="D13" s="89" t="str">
        <f>VLOOKUP($C13,'1.2 HR-Data luong'!$B:$BG,D$5,0)</f>
        <v>BD03 SG</v>
      </c>
      <c r="E13" s="89" t="str">
        <f>VLOOKUP($C13,'1.2 HR-Data luong'!$B:$BG,E$5,0)</f>
        <v>NguyenVanH</v>
      </c>
      <c r="F13" s="89" t="str">
        <f>VLOOKUP($C13,'1.2 HR-Data luong'!$B:$BG,F$5,0)</f>
        <v>Nguyễn Văn H</v>
      </c>
      <c r="G13" s="89" t="str">
        <f>VLOOKUP($C13,'1.2 HR-Data luong'!$B:$BG,G$5,0)</f>
        <v>HCM</v>
      </c>
      <c r="H13" s="89" t="str">
        <f>VLOOKUP($C13,'1.2 HR-Data luong'!$B:$BG,H$5,0)</f>
        <v>Nhân viên</v>
      </c>
      <c r="I13" s="89" t="str">
        <f>VLOOKUP($C13,'1.2 HR-Data luong'!$B:$BG,I$5,0)</f>
        <v>S1</v>
      </c>
      <c r="J13" s="89" t="str">
        <f>VLOOKUP($C13,'1.2 HR-Data luong'!$B:$BG,J$5,0)</f>
        <v>CT</v>
      </c>
      <c r="K13" s="95">
        <f>VLOOKUP($C13,'1.2 HR-Data luong'!$B:$BG,'1.2 HR-Data luong'!L$5,0)</f>
        <v>8000000</v>
      </c>
      <c r="L13" s="95">
        <f>VLOOKUP($C13,'1.2 HR-Data luong'!$B:$BG,'1.2 HR-Data luong'!M$5,0)</f>
        <v>10000000</v>
      </c>
      <c r="M13" s="92">
        <f>VLOOKUP($C13,'1.2 HR-Data luong'!$B:$BG,'1.2 HR-Data luong'!N$5,0)</f>
        <v>42931</v>
      </c>
      <c r="N13" s="89" t="str">
        <f>VLOOKUP($C13,'1.2 HR-Data luong'!$B:$BG,'1.2 HR-Data luong'!O$5,0)</f>
        <v>Tăng lương do tăng cấp</v>
      </c>
      <c r="O13" s="94">
        <f>VLOOKUP($C13,'1.2 HR-Data luong'!$B:$BG,'1.2 HR-Data luong'!P$5,0)</f>
        <v>10</v>
      </c>
      <c r="P13" s="94">
        <f>VLOOKUP($C13,'1.2 HR-Data luong'!$B:$BG,'1.2 HR-Data luong'!Q$5,0)</f>
        <v>12.5</v>
      </c>
      <c r="Q13" s="94">
        <f>VLOOKUP($C13,'1.2 HR-Data luong'!$B:$BG,'1.2 HR-Data luong'!R$5,0)</f>
        <v>22.5</v>
      </c>
      <c r="R13" s="96">
        <f t="shared" si="0"/>
        <v>9111111.1111111119</v>
      </c>
    </row>
    <row r="14" spans="1:18" x14ac:dyDescent="0.25">
      <c r="A14" s="89" t="s">
        <v>302</v>
      </c>
      <c r="B14" s="89">
        <v>9</v>
      </c>
      <c r="C14" s="89" t="str">
        <f>VLOOKUP(B14,'1.2 HR-Data luong'!A:B,2,0)</f>
        <v>ADS09</v>
      </c>
      <c r="D14" s="89" t="str">
        <f>VLOOKUP($C14,'1.2 HR-Data luong'!$B:$BG,D$5,0)</f>
        <v>HR HN</v>
      </c>
      <c r="E14" s="89" t="str">
        <f>VLOOKUP($C14,'1.2 HR-Data luong'!$B:$BG,E$5,0)</f>
        <v>NguyenVanI</v>
      </c>
      <c r="F14" s="89" t="str">
        <f>VLOOKUP($C14,'1.2 HR-Data luong'!$B:$BG,F$5,0)</f>
        <v>Nguyễn Văn I</v>
      </c>
      <c r="G14" s="89" t="str">
        <f>VLOOKUP($C14,'1.2 HR-Data luong'!$B:$BG,G$5,0)</f>
        <v>HN</v>
      </c>
      <c r="H14" s="89" t="str">
        <f>VLOOKUP($C14,'1.2 HR-Data luong'!$B:$BG,H$5,0)</f>
        <v>Trưởng phòng</v>
      </c>
      <c r="I14" s="89" t="str">
        <f>VLOOKUP($C14,'1.2 HR-Data luong'!$B:$BG,I$5,0)</f>
        <v>TP KPC</v>
      </c>
      <c r="J14" s="89" t="str">
        <f>VLOOKUP($C14,'1.2 HR-Data luong'!$B:$BG,J$5,0)</f>
        <v>CT</v>
      </c>
      <c r="K14" s="95">
        <f>VLOOKUP($C14,'1.2 HR-Data luong'!$B:$BG,'1.2 HR-Data luong'!L$5,0)</f>
        <v>9000000</v>
      </c>
      <c r="L14" s="95">
        <f>VLOOKUP($C14,'1.2 HR-Data luong'!$B:$BG,'1.2 HR-Data luong'!M$5,0)</f>
        <v>0</v>
      </c>
      <c r="M14" s="92">
        <f>VLOOKUP($C14,'1.2 HR-Data luong'!$B:$BG,'1.2 HR-Data luong'!N$5,0)</f>
        <v>0</v>
      </c>
      <c r="N14" s="89">
        <f>VLOOKUP($C14,'1.2 HR-Data luong'!$B:$BG,'1.2 HR-Data luong'!O$5,0)</f>
        <v>0</v>
      </c>
      <c r="O14" s="94">
        <f>VLOOKUP($C14,'1.2 HR-Data luong'!$B:$BG,'1.2 HR-Data luong'!P$5,0)</f>
        <v>22.5</v>
      </c>
      <c r="P14" s="94">
        <f>VLOOKUP($C14,'1.2 HR-Data luong'!$B:$BG,'1.2 HR-Data luong'!Q$5,0)</f>
        <v>0</v>
      </c>
      <c r="Q14" s="94">
        <f>VLOOKUP($C14,'1.2 HR-Data luong'!$B:$BG,'1.2 HR-Data luong'!R$5,0)</f>
        <v>22.5</v>
      </c>
      <c r="R14" s="96">
        <f t="shared" si="0"/>
        <v>9000000</v>
      </c>
    </row>
    <row r="15" spans="1:18" x14ac:dyDescent="0.25">
      <c r="A15" s="89" t="s">
        <v>302</v>
      </c>
      <c r="B15" s="89">
        <v>10</v>
      </c>
      <c r="C15" s="89" t="str">
        <f>VLOOKUP(B15,'1.2 HR-Data luong'!A:B,2,0)</f>
        <v>ADS10</v>
      </c>
      <c r="D15" s="89" t="str">
        <f>VLOOKUP($C15,'1.2 HR-Data luong'!$B:$BG,D$5,0)</f>
        <v>HR HN</v>
      </c>
      <c r="E15" s="89" t="str">
        <f>VLOOKUP($C15,'1.2 HR-Data luong'!$B:$BG,E$5,0)</f>
        <v>NguyenVanK</v>
      </c>
      <c r="F15" s="89" t="str">
        <f>VLOOKUP($C15,'1.2 HR-Data luong'!$B:$BG,F$5,0)</f>
        <v>Nguyễn Văn K</v>
      </c>
      <c r="G15" s="89" t="str">
        <f>VLOOKUP($C15,'1.2 HR-Data luong'!$B:$BG,G$5,0)</f>
        <v>HN</v>
      </c>
      <c r="H15" s="89" t="str">
        <f>VLOOKUP($C15,'1.2 HR-Data luong'!$B:$BG,H$5,0)</f>
        <v>Nhân viên</v>
      </c>
      <c r="I15" s="89" t="str">
        <f>VLOOKUP($C15,'1.2 HR-Data luong'!$B:$BG,I$5,0)</f>
        <v>C1</v>
      </c>
      <c r="J15" s="89" t="str">
        <f>VLOOKUP($C15,'1.2 HR-Data luong'!$B:$BG,J$5,0)</f>
        <v>CT</v>
      </c>
      <c r="K15" s="95">
        <f>VLOOKUP($C15,'1.2 HR-Data luong'!$B:$BG,'1.2 HR-Data luong'!L$5,0)</f>
        <v>10000000</v>
      </c>
      <c r="L15" s="95">
        <f>VLOOKUP($C15,'1.2 HR-Data luong'!$B:$BG,'1.2 HR-Data luong'!M$5,0)</f>
        <v>0</v>
      </c>
      <c r="M15" s="92">
        <f>VLOOKUP($C15,'1.2 HR-Data luong'!$B:$BG,'1.2 HR-Data luong'!N$5,0)</f>
        <v>0</v>
      </c>
      <c r="N15" s="89">
        <f>VLOOKUP($C15,'1.2 HR-Data luong'!$B:$BG,'1.2 HR-Data luong'!O$5,0)</f>
        <v>0</v>
      </c>
      <c r="O15" s="94">
        <f>VLOOKUP($C15,'1.2 HR-Data luong'!$B:$BG,'1.2 HR-Data luong'!P$5,0)</f>
        <v>22.5</v>
      </c>
      <c r="P15" s="94">
        <f>VLOOKUP($C15,'1.2 HR-Data luong'!$B:$BG,'1.2 HR-Data luong'!Q$5,0)</f>
        <v>0</v>
      </c>
      <c r="Q15" s="94">
        <f>VLOOKUP($C15,'1.2 HR-Data luong'!$B:$BG,'1.2 HR-Data luong'!R$5,0)</f>
        <v>22.5</v>
      </c>
      <c r="R15" s="96">
        <f t="shared" si="0"/>
        <v>10000000</v>
      </c>
    </row>
  </sheetData>
  <mergeCells count="13">
    <mergeCell ref="A3:A4"/>
    <mergeCell ref="O3:Q3"/>
    <mergeCell ref="R3:R4"/>
    <mergeCell ref="H3:H4"/>
    <mergeCell ref="I3:I4"/>
    <mergeCell ref="J3:J4"/>
    <mergeCell ref="K3:N3"/>
    <mergeCell ref="G3:G4"/>
    <mergeCell ref="B3:B4"/>
    <mergeCell ref="C3:C4"/>
    <mergeCell ref="D3:D4"/>
    <mergeCell ref="E3:E4"/>
    <mergeCell ref="F3:F4"/>
  </mergeCells>
  <conditionalFormatting sqref="C3:C5 E5 G5 I5 K5 M5 O5 Q5">
    <cfRule type="duplicateValues" dxfId="7" priority="1"/>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15"/>
  <sheetViews>
    <sheetView topLeftCell="S1" zoomScale="85" zoomScaleNormal="85" workbookViewId="0">
      <selection activeCell="AK6" sqref="AK6"/>
    </sheetView>
  </sheetViews>
  <sheetFormatPr defaultRowHeight="15" x14ac:dyDescent="0.25"/>
  <cols>
    <col min="2" max="2" width="6.28515625" customWidth="1"/>
    <col min="3" max="4" width="7.42578125" customWidth="1"/>
    <col min="5" max="6" width="15.5703125" customWidth="1"/>
    <col min="8" max="8" width="16.140625" customWidth="1"/>
    <col min="11" max="13" width="12.85546875" customWidth="1"/>
    <col min="14" max="14" width="23.5703125" customWidth="1"/>
    <col min="18" max="20" width="12.28515625" style="27" customWidth="1"/>
    <col min="21" max="21" width="27.85546875" style="27" customWidth="1"/>
    <col min="22" max="24" width="8.85546875" style="27" customWidth="1"/>
    <col min="25" max="25" width="13" style="102" customWidth="1"/>
    <col min="26" max="26" width="8.5703125" style="102" customWidth="1"/>
    <col min="27" max="27" width="7.85546875" style="102" customWidth="1"/>
    <col min="28" max="28" width="13" style="102" customWidth="1"/>
    <col min="29" max="29" width="8.5703125" style="102" customWidth="1"/>
    <col min="30" max="30" width="7.85546875" style="102" customWidth="1"/>
    <col min="31" max="31" width="13" style="102" customWidth="1"/>
    <col min="32" max="32" width="8.5703125" style="102" customWidth="1"/>
    <col min="33" max="33" width="7.85546875" style="102" customWidth="1"/>
    <col min="34" max="34" width="13" style="102" customWidth="1"/>
    <col min="35" max="35" width="8.5703125" style="102" customWidth="1"/>
    <col min="36" max="36" width="7.85546875" style="102" customWidth="1"/>
    <col min="37" max="37" width="13" style="99" customWidth="1"/>
  </cols>
  <sheetData>
    <row r="1" spans="1:41" x14ac:dyDescent="0.25">
      <c r="A1" s="97" t="s">
        <v>470</v>
      </c>
      <c r="M1" s="93"/>
    </row>
    <row r="2" spans="1:41" ht="15" customHeight="1" x14ac:dyDescent="0.25">
      <c r="B2" s="97"/>
      <c r="M2" s="93"/>
      <c r="R2" s="25"/>
      <c r="S2" s="25"/>
      <c r="T2" s="25"/>
      <c r="U2" s="22"/>
    </row>
    <row r="3" spans="1:41" ht="15" customHeight="1" x14ac:dyDescent="0.25">
      <c r="A3" s="336" t="s">
        <v>469</v>
      </c>
      <c r="B3" s="336" t="s">
        <v>0</v>
      </c>
      <c r="C3" s="336" t="s">
        <v>1</v>
      </c>
      <c r="D3" s="336" t="s">
        <v>2</v>
      </c>
      <c r="E3" s="336" t="s">
        <v>218</v>
      </c>
      <c r="F3" s="336" t="s">
        <v>3</v>
      </c>
      <c r="G3" s="336" t="s">
        <v>4</v>
      </c>
      <c r="H3" s="336" t="s">
        <v>5</v>
      </c>
      <c r="I3" s="336" t="s">
        <v>6</v>
      </c>
      <c r="J3" s="336" t="s">
        <v>7</v>
      </c>
      <c r="K3" s="322" t="s">
        <v>160</v>
      </c>
      <c r="L3" s="323"/>
      <c r="M3" s="323"/>
      <c r="N3" s="324"/>
      <c r="O3" s="325" t="s">
        <v>162</v>
      </c>
      <c r="P3" s="325"/>
      <c r="Q3" s="325"/>
      <c r="R3" s="325" t="s">
        <v>164</v>
      </c>
      <c r="S3" s="325"/>
      <c r="T3" s="325"/>
      <c r="U3" s="325"/>
      <c r="V3" s="325" t="s">
        <v>225</v>
      </c>
      <c r="W3" s="325"/>
      <c r="X3" s="325"/>
      <c r="Y3" s="344" t="s">
        <v>226</v>
      </c>
      <c r="Z3" s="344" t="s">
        <v>227</v>
      </c>
      <c r="AA3" s="344" t="s">
        <v>230</v>
      </c>
      <c r="AB3" s="344" t="s">
        <v>226</v>
      </c>
      <c r="AC3" s="344" t="s">
        <v>229</v>
      </c>
      <c r="AD3" s="344" t="s">
        <v>231</v>
      </c>
      <c r="AE3" s="344" t="s">
        <v>228</v>
      </c>
      <c r="AF3" s="344" t="s">
        <v>227</v>
      </c>
      <c r="AG3" s="344" t="s">
        <v>232</v>
      </c>
      <c r="AH3" s="344" t="s">
        <v>228</v>
      </c>
      <c r="AI3" s="344" t="s">
        <v>229</v>
      </c>
      <c r="AJ3" s="344" t="s">
        <v>233</v>
      </c>
      <c r="AK3" s="344" t="s">
        <v>224</v>
      </c>
    </row>
    <row r="4" spans="1:41" ht="38.25" x14ac:dyDescent="0.25">
      <c r="A4" s="336"/>
      <c r="B4" s="336"/>
      <c r="C4" s="336"/>
      <c r="D4" s="336"/>
      <c r="E4" s="336"/>
      <c r="F4" s="336"/>
      <c r="G4" s="336"/>
      <c r="H4" s="336"/>
      <c r="I4" s="336"/>
      <c r="J4" s="336"/>
      <c r="K4" s="8" t="s">
        <v>174</v>
      </c>
      <c r="L4" s="8" t="s">
        <v>175</v>
      </c>
      <c r="M4" s="9" t="s">
        <v>176</v>
      </c>
      <c r="N4" s="9" t="s">
        <v>177</v>
      </c>
      <c r="O4" s="15" t="s">
        <v>190</v>
      </c>
      <c r="P4" s="15" t="s">
        <v>191</v>
      </c>
      <c r="Q4" s="10" t="s">
        <v>179</v>
      </c>
      <c r="R4" s="11" t="s">
        <v>210</v>
      </c>
      <c r="S4" s="11" t="s">
        <v>209</v>
      </c>
      <c r="T4" s="13" t="s">
        <v>64</v>
      </c>
      <c r="U4" s="13" t="s">
        <v>211</v>
      </c>
      <c r="V4" s="15" t="s">
        <v>190</v>
      </c>
      <c r="W4" s="15" t="s">
        <v>191</v>
      </c>
      <c r="X4" s="10" t="s">
        <v>179</v>
      </c>
      <c r="Y4" s="345"/>
      <c r="Z4" s="345"/>
      <c r="AA4" s="345"/>
      <c r="AB4" s="345"/>
      <c r="AC4" s="345"/>
      <c r="AD4" s="345"/>
      <c r="AE4" s="345"/>
      <c r="AF4" s="345"/>
      <c r="AG4" s="345"/>
      <c r="AH4" s="345"/>
      <c r="AI4" s="345"/>
      <c r="AJ4" s="345"/>
      <c r="AK4" s="345"/>
      <c r="AL4" t="s">
        <v>234</v>
      </c>
    </row>
    <row r="5" spans="1:41" x14ac:dyDescent="0.25">
      <c r="A5" s="90"/>
      <c r="B5" s="90"/>
      <c r="C5" s="90">
        <v>1</v>
      </c>
      <c r="D5" s="90">
        <v>2</v>
      </c>
      <c r="E5" s="90">
        <v>3</v>
      </c>
      <c r="F5" s="90">
        <v>4</v>
      </c>
      <c r="G5" s="90">
        <v>5</v>
      </c>
      <c r="H5" s="90">
        <v>6</v>
      </c>
      <c r="I5" s="90">
        <v>7</v>
      </c>
      <c r="J5" s="90">
        <v>8</v>
      </c>
      <c r="K5" s="90">
        <v>9</v>
      </c>
      <c r="L5" s="90">
        <v>10</v>
      </c>
      <c r="M5" s="90">
        <v>11</v>
      </c>
      <c r="N5" s="90">
        <v>12</v>
      </c>
      <c r="O5" s="90">
        <v>13</v>
      </c>
      <c r="P5" s="90">
        <v>14</v>
      </c>
      <c r="Q5" s="90">
        <v>15</v>
      </c>
      <c r="R5" s="90">
        <v>16</v>
      </c>
      <c r="S5" s="90">
        <v>17</v>
      </c>
      <c r="T5" s="90">
        <v>18</v>
      </c>
      <c r="U5" s="90">
        <v>19</v>
      </c>
      <c r="V5" s="90">
        <v>20</v>
      </c>
      <c r="W5" s="90">
        <v>21</v>
      </c>
      <c r="X5" s="90">
        <v>22</v>
      </c>
      <c r="Y5" s="90">
        <v>23</v>
      </c>
      <c r="Z5" s="90">
        <v>24</v>
      </c>
      <c r="AA5" s="90">
        <v>25</v>
      </c>
      <c r="AB5" s="90">
        <v>26</v>
      </c>
      <c r="AC5" s="90">
        <v>27</v>
      </c>
      <c r="AD5" s="90">
        <v>28</v>
      </c>
      <c r="AE5" s="90">
        <v>29</v>
      </c>
      <c r="AF5" s="90">
        <v>30</v>
      </c>
      <c r="AG5" s="90">
        <v>31</v>
      </c>
      <c r="AH5" s="90">
        <v>32</v>
      </c>
      <c r="AI5" s="90">
        <v>33</v>
      </c>
      <c r="AJ5" s="90">
        <v>34</v>
      </c>
      <c r="AK5" s="90">
        <v>35</v>
      </c>
    </row>
    <row r="6" spans="1:41" x14ac:dyDescent="0.25">
      <c r="A6" s="89" t="s">
        <v>302</v>
      </c>
      <c r="B6" s="89">
        <v>1</v>
      </c>
      <c r="C6" s="89" t="str">
        <f>VLOOKUP(B6,'1.2 HR-Data luong'!A:B,2,0)</f>
        <v>ADS01</v>
      </c>
      <c r="D6" s="89" t="str">
        <f>VLOOKUP($C6,'1.2 HR-Data luong'!$B:$BG,D$5,0)</f>
        <v>BD01 HN</v>
      </c>
      <c r="E6" s="89" t="str">
        <f>VLOOKUP($C6,'1.2 HR-Data luong'!$B:$BG,E$5,0)</f>
        <v>NguyenVanA</v>
      </c>
      <c r="F6" s="89" t="str">
        <f>VLOOKUP($C6,'1.2 HR-Data luong'!$B:$BG,F$5,0)</f>
        <v>Nguyễn Văn A</v>
      </c>
      <c r="G6" s="89" t="str">
        <f>VLOOKUP($C6,'1.2 HR-Data luong'!$B:$BG,G$5,0)</f>
        <v>HN</v>
      </c>
      <c r="H6" s="89" t="str">
        <f>VLOOKUP($C6,'1.2 HR-Data luong'!$B:$BG,H$5,0)</f>
        <v>Trưởng phòng</v>
      </c>
      <c r="I6" s="89" t="str">
        <f>VLOOKUP($C6,'1.2 HR-Data luong'!$B:$BG,I$5,0)</f>
        <v>TP C1</v>
      </c>
      <c r="J6" s="89" t="str">
        <f>VLOOKUP($C6,'1.2 HR-Data luong'!$B:$BG,J$5,0)</f>
        <v>CT</v>
      </c>
      <c r="K6" s="95">
        <f>VLOOKUP($C6,'1.2 HR-Data luong'!$B:$BG,'1.2 HR-Data luong'!L$5,0)</f>
        <v>1000000</v>
      </c>
      <c r="L6" s="95">
        <f>VLOOKUP($C6,'1.2 HR-Data luong'!$B:$BG,'1.2 HR-Data luong'!M$5,0)</f>
        <v>5000000</v>
      </c>
      <c r="M6" s="92">
        <f>VLOOKUP($C6,'1.2 HR-Data luong'!$B:$BG,'1.2 HR-Data luong'!N$5,0)</f>
        <v>42919</v>
      </c>
      <c r="N6" s="89" t="str">
        <f>VLOOKUP($C6,'1.2 HR-Data luong'!$B:$BG,'1.2 HR-Data luong'!O$5,0)</f>
        <v>Tăng lương do tăng cấp</v>
      </c>
      <c r="O6" s="94">
        <f>VLOOKUP($C6,'1.2 HR-Data luong'!$B:$BG,'1.2 HR-Data luong'!P$5,0)</f>
        <v>4</v>
      </c>
      <c r="P6" s="94">
        <f>VLOOKUP($C6,'1.2 HR-Data luong'!$B:$BG,'1.2 HR-Data luong'!Q$5,0)</f>
        <v>18.5</v>
      </c>
      <c r="Q6" s="94">
        <f>VLOOKUP($C6,'1.2 HR-Data luong'!$B:$BG,'1.2 HR-Data luong'!R$5,0)</f>
        <v>20.5</v>
      </c>
      <c r="R6" s="101">
        <f>VLOOKUP($C6,'1.2 HR-Data luong'!$B:$BG,'1.2 HR-Data luong'!W$5,0)</f>
        <v>0.01</v>
      </c>
      <c r="S6" s="101">
        <f>VLOOKUP($C6,'1.2 HR-Data luong'!$B:$BG,'1.2 HR-Data luong'!X$5,0)</f>
        <v>0.02</v>
      </c>
      <c r="T6" s="92">
        <f>VLOOKUP($C6,'1.2 HR-Data luong'!$B:$BG,'1.2 HR-Data luong'!Y$5,0)</f>
        <v>42917</v>
      </c>
      <c r="U6" s="94" t="str">
        <f>VLOOKUP($C6,'1.2 HR-Data luong'!$B:$BG,'1.2 HR-Data luong'!Z$5,0)</f>
        <v>Đủ 3 năm công tác</v>
      </c>
      <c r="V6" s="94">
        <f>VLOOKUP($C6,'1.2 HR-Data luong'!$B:$BG,'1.2 HR-Data luong'!AA$5,0)</f>
        <v>2</v>
      </c>
      <c r="W6" s="94">
        <f>VLOOKUP($C6,'1.2 HR-Data luong'!$B:$BG,'1.2 HR-Data luong'!AB$5,0)</f>
        <v>20.5</v>
      </c>
      <c r="X6" s="94">
        <f>VLOOKUP($C6,'1.2 HR-Data luong'!$B:$BG,'1.2 HR-Data luong'!AC$5,0)</f>
        <v>22.5</v>
      </c>
      <c r="Y6" s="95">
        <f>K6</f>
        <v>1000000</v>
      </c>
      <c r="Z6" s="101">
        <f>R6</f>
        <v>0.01</v>
      </c>
      <c r="AA6" s="104">
        <f>MIN(O6,V6)</f>
        <v>2</v>
      </c>
      <c r="AB6" s="95">
        <f>Y6</f>
        <v>1000000</v>
      </c>
      <c r="AC6" s="101">
        <f>IF(T6&gt;0,S6,R6)</f>
        <v>0.02</v>
      </c>
      <c r="AD6" s="104">
        <f>MAX(0,O6-AA6)</f>
        <v>2</v>
      </c>
      <c r="AE6" s="95">
        <f>L6</f>
        <v>5000000</v>
      </c>
      <c r="AF6" s="101">
        <f>R6</f>
        <v>0.01</v>
      </c>
      <c r="AG6" s="104">
        <f>MAX(0,V6-AA6)</f>
        <v>0</v>
      </c>
      <c r="AH6" s="95">
        <f>L6</f>
        <v>5000000</v>
      </c>
      <c r="AI6" s="101">
        <f>IF(T6&gt;0,S6,R6)</f>
        <v>0.02</v>
      </c>
      <c r="AJ6" s="104">
        <f>MAX(0,W6-AD6)</f>
        <v>18.5</v>
      </c>
      <c r="AK6" s="99">
        <f>(Y6*Z6*AA6+AB6*AC6*AD6+AE6*AF6*AG6+AH6*AI6*AJ6)/(AA6+AD6+AG6+AJ6)</f>
        <v>84888.888888888891</v>
      </c>
      <c r="AL6" s="96">
        <f>SUM(AA6,AD6)-O6</f>
        <v>0</v>
      </c>
      <c r="AM6" s="96">
        <f>SUM(AG6,AJ6)-P6</f>
        <v>0</v>
      </c>
      <c r="AN6" s="96">
        <f>SUM(AA6,AG6)-V6</f>
        <v>0</v>
      </c>
      <c r="AO6" s="96">
        <f>SUM(AD6,AJ6)-W6</f>
        <v>0</v>
      </c>
    </row>
    <row r="7" spans="1:41" x14ac:dyDescent="0.25">
      <c r="A7" s="89" t="s">
        <v>302</v>
      </c>
      <c r="B7" s="89">
        <v>2</v>
      </c>
      <c r="C7" s="89" t="str">
        <f>VLOOKUP(B7,'1.2 HR-Data luong'!A:B,2,0)</f>
        <v>ADS02</v>
      </c>
      <c r="D7" s="89" t="str">
        <f>VLOOKUP($C7,'1.2 HR-Data luong'!$B:$BG,D$5,0)</f>
        <v>BD01 HN</v>
      </c>
      <c r="E7" s="89" t="str">
        <f>VLOOKUP($C7,'1.2 HR-Data luong'!$B:$BG,E$5,0)</f>
        <v>NguyenVanB</v>
      </c>
      <c r="F7" s="89" t="str">
        <f>VLOOKUP($C7,'1.2 HR-Data luong'!$B:$BG,F$5,0)</f>
        <v>Nguyễn Văn B</v>
      </c>
      <c r="G7" s="89" t="str">
        <f>VLOOKUP($C7,'1.2 HR-Data luong'!$B:$BG,G$5,0)</f>
        <v>HN</v>
      </c>
      <c r="H7" s="89" t="str">
        <f>VLOOKUP($C7,'1.2 HR-Data luong'!$B:$BG,H$5,0)</f>
        <v>Nhân viên</v>
      </c>
      <c r="I7" s="89" t="str">
        <f>VLOOKUP($C7,'1.2 HR-Data luong'!$B:$BG,I$5,0)</f>
        <v>C1</v>
      </c>
      <c r="J7" s="89" t="str">
        <f>VLOOKUP($C7,'1.2 HR-Data luong'!$B:$BG,J$5,0)</f>
        <v>CT</v>
      </c>
      <c r="K7" s="95">
        <f>VLOOKUP($C7,'1.2 HR-Data luong'!$B:$BG,'1.2 HR-Data luong'!L$5,0)</f>
        <v>2000000</v>
      </c>
      <c r="L7" s="95">
        <f>VLOOKUP($C7,'1.2 HR-Data luong'!$B:$BG,'1.2 HR-Data luong'!M$5,0)</f>
        <v>0</v>
      </c>
      <c r="M7" s="92">
        <f>VLOOKUP($C7,'1.2 HR-Data luong'!$B:$BG,'1.2 HR-Data luong'!N$5,0)</f>
        <v>0</v>
      </c>
      <c r="N7" s="89">
        <f>VLOOKUP($C7,'1.2 HR-Data luong'!$B:$BG,'1.2 HR-Data luong'!O$5,0)</f>
        <v>0</v>
      </c>
      <c r="O7" s="94">
        <f>VLOOKUP($C7,'1.2 HR-Data luong'!$B:$BG,'1.2 HR-Data luong'!P$5,0)</f>
        <v>22.5</v>
      </c>
      <c r="P7" s="94">
        <f>VLOOKUP($C7,'1.2 HR-Data luong'!$B:$BG,'1.2 HR-Data luong'!Q$5,0)</f>
        <v>0</v>
      </c>
      <c r="Q7" s="94">
        <f>VLOOKUP($C7,'1.2 HR-Data luong'!$B:$BG,'1.2 HR-Data luong'!R$5,0)</f>
        <v>20.5</v>
      </c>
      <c r="R7" s="101">
        <f>VLOOKUP($C7,'1.2 HR-Data luong'!$B:$BG,'1.2 HR-Data luong'!W$5,0)</f>
        <v>0.02</v>
      </c>
      <c r="S7" s="101">
        <f>VLOOKUP($C7,'1.2 HR-Data luong'!$B:$BG,'1.2 HR-Data luong'!X$5,0)</f>
        <v>0</v>
      </c>
      <c r="T7" s="92">
        <f>VLOOKUP($C7,'1.2 HR-Data luong'!$B:$BG,'1.2 HR-Data luong'!Y$5,0)</f>
        <v>0</v>
      </c>
      <c r="U7" s="94">
        <f>VLOOKUP($C7,'1.2 HR-Data luong'!$B:$BG,'1.2 HR-Data luong'!Z$5,0)</f>
        <v>0</v>
      </c>
      <c r="V7" s="94">
        <f>VLOOKUP($C7,'1.2 HR-Data luong'!$B:$BG,'1.2 HR-Data luong'!AA$5,0)</f>
        <v>22.5</v>
      </c>
      <c r="W7" s="94">
        <f>VLOOKUP($C7,'1.2 HR-Data luong'!$B:$BG,'1.2 HR-Data luong'!AB$5,0)</f>
        <v>0</v>
      </c>
      <c r="X7" s="94">
        <f>VLOOKUP($C7,'1.2 HR-Data luong'!$B:$BG,'1.2 HR-Data luong'!AC$5,0)</f>
        <v>22.5</v>
      </c>
      <c r="Y7" s="95">
        <f t="shared" ref="Y7:Y15" si="0">K7</f>
        <v>2000000</v>
      </c>
      <c r="Z7" s="101">
        <f t="shared" ref="Z7:Z15" si="1">R7</f>
        <v>0.02</v>
      </c>
      <c r="AA7" s="104">
        <f t="shared" ref="AA7:AA15" si="2">MIN(O7,V7)</f>
        <v>22.5</v>
      </c>
      <c r="AB7" s="95">
        <f t="shared" ref="AB7:AB15" si="3">Y7</f>
        <v>2000000</v>
      </c>
      <c r="AC7" s="101">
        <f t="shared" ref="AC7:AC15" si="4">IF(T7&gt;0,S7,R7)</f>
        <v>0.02</v>
      </c>
      <c r="AD7" s="104">
        <f t="shared" ref="AD7:AD15" si="5">MAX(0,O7-AA7)</f>
        <v>0</v>
      </c>
      <c r="AE7" s="95">
        <f t="shared" ref="AE7:AE15" si="6">L7</f>
        <v>0</v>
      </c>
      <c r="AF7" s="101">
        <f t="shared" ref="AF7:AF15" si="7">R7</f>
        <v>0.02</v>
      </c>
      <c r="AG7" s="104">
        <f t="shared" ref="AG7:AG15" si="8">MAX(0,V7-AA7)</f>
        <v>0</v>
      </c>
      <c r="AH7" s="95">
        <f t="shared" ref="AH7:AH15" si="9">L7</f>
        <v>0</v>
      </c>
      <c r="AI7" s="101">
        <f t="shared" ref="AI7:AI15" si="10">IF(T7&gt;0,S7,R7)</f>
        <v>0.02</v>
      </c>
      <c r="AJ7" s="104">
        <f t="shared" ref="AJ7:AJ15" si="11">MAX(0,W7-AD7)</f>
        <v>0</v>
      </c>
      <c r="AK7" s="99">
        <f t="shared" ref="AK7:AK15" si="12">(Y7*Z7*AA7+AB7*AC7*AD7+AE7*AF7*AG7+AH7*AI7*AJ7)/(AA7+AD7+AG7+AJ7)</f>
        <v>40000</v>
      </c>
      <c r="AL7" s="96">
        <f t="shared" ref="AL7:AL15" si="13">SUM(AA7,AD7)-O7</f>
        <v>0</v>
      </c>
      <c r="AM7" s="96">
        <f t="shared" ref="AM7:AM15" si="14">SUM(AG7,AJ7)-P7</f>
        <v>0</v>
      </c>
      <c r="AN7" s="96">
        <f t="shared" ref="AN7:AN15" si="15">SUM(AA7,AG7)-V7</f>
        <v>0</v>
      </c>
      <c r="AO7" s="96">
        <f t="shared" ref="AO7:AO15" si="16">SUM(AD7,AJ7)-W7</f>
        <v>0</v>
      </c>
    </row>
    <row r="8" spans="1:41" x14ac:dyDescent="0.25">
      <c r="A8" s="89" t="s">
        <v>302</v>
      </c>
      <c r="B8" s="89">
        <v>3</v>
      </c>
      <c r="C8" s="89" t="str">
        <f>VLOOKUP(B8,'1.2 HR-Data luong'!A:B,2,0)</f>
        <v>ADS03</v>
      </c>
      <c r="D8" s="89" t="str">
        <f>VLOOKUP($C8,'1.2 HR-Data luong'!$B:$BG,D$5,0)</f>
        <v>BD02 HN</v>
      </c>
      <c r="E8" s="89" t="str">
        <f>VLOOKUP($C8,'1.2 HR-Data luong'!$B:$BG,E$5,0)</f>
        <v>NguyenVanC</v>
      </c>
      <c r="F8" s="89" t="str">
        <f>VLOOKUP($C8,'1.2 HR-Data luong'!$B:$BG,F$5,0)</f>
        <v>Nguyễn Văn C</v>
      </c>
      <c r="G8" s="89" t="str">
        <f>VLOOKUP($C8,'1.2 HR-Data luong'!$B:$BG,G$5,0)</f>
        <v>HN</v>
      </c>
      <c r="H8" s="89" t="str">
        <f>VLOOKUP($C8,'1.2 HR-Data luong'!$B:$BG,H$5,0)</f>
        <v>Trưởng phòng</v>
      </c>
      <c r="I8" s="89" t="str">
        <f>VLOOKUP($C8,'1.2 HR-Data luong'!$B:$BG,I$5,0)</f>
        <v>TP C2</v>
      </c>
      <c r="J8" s="89" t="str">
        <f>VLOOKUP($C8,'1.2 HR-Data luong'!$B:$BG,J$5,0)</f>
        <v>CT</v>
      </c>
      <c r="K8" s="95">
        <f>VLOOKUP($C8,'1.2 HR-Data luong'!$B:$BG,'1.2 HR-Data luong'!L$5,0)</f>
        <v>3000000</v>
      </c>
      <c r="L8" s="95">
        <f>VLOOKUP($C8,'1.2 HR-Data luong'!$B:$BG,'1.2 HR-Data luong'!M$5,0)</f>
        <v>0</v>
      </c>
      <c r="M8" s="92">
        <f>VLOOKUP($C8,'1.2 HR-Data luong'!$B:$BG,'1.2 HR-Data luong'!N$5,0)</f>
        <v>0</v>
      </c>
      <c r="N8" s="89">
        <f>VLOOKUP($C8,'1.2 HR-Data luong'!$B:$BG,'1.2 HR-Data luong'!O$5,0)</f>
        <v>0</v>
      </c>
      <c r="O8" s="94">
        <f>VLOOKUP($C8,'1.2 HR-Data luong'!$B:$BG,'1.2 HR-Data luong'!P$5,0)</f>
        <v>22.5</v>
      </c>
      <c r="P8" s="94">
        <f>VLOOKUP($C8,'1.2 HR-Data luong'!$B:$BG,'1.2 HR-Data luong'!Q$5,0)</f>
        <v>0</v>
      </c>
      <c r="Q8" s="94">
        <f>VLOOKUP($C8,'1.2 HR-Data luong'!$B:$BG,'1.2 HR-Data luong'!R$5,0)</f>
        <v>20.5</v>
      </c>
      <c r="R8" s="101">
        <f>VLOOKUP($C8,'1.2 HR-Data luong'!$B:$BG,'1.2 HR-Data luong'!W$5,0)</f>
        <v>0.03</v>
      </c>
      <c r="S8" s="101">
        <f>VLOOKUP($C8,'1.2 HR-Data luong'!$B:$BG,'1.2 HR-Data luong'!X$5,0)</f>
        <v>0</v>
      </c>
      <c r="T8" s="92">
        <f>VLOOKUP($C8,'1.2 HR-Data luong'!$B:$BG,'1.2 HR-Data luong'!Y$5,0)</f>
        <v>0</v>
      </c>
      <c r="U8" s="94">
        <f>VLOOKUP($C8,'1.2 HR-Data luong'!$B:$BG,'1.2 HR-Data luong'!Z$5,0)</f>
        <v>0</v>
      </c>
      <c r="V8" s="94">
        <f>VLOOKUP($C8,'1.2 HR-Data luong'!$B:$BG,'1.2 HR-Data luong'!AA$5,0)</f>
        <v>22.5</v>
      </c>
      <c r="W8" s="94">
        <f>VLOOKUP($C8,'1.2 HR-Data luong'!$B:$BG,'1.2 HR-Data luong'!AB$5,0)</f>
        <v>0</v>
      </c>
      <c r="X8" s="94">
        <f>VLOOKUP($C8,'1.2 HR-Data luong'!$B:$BG,'1.2 HR-Data luong'!AC$5,0)</f>
        <v>22.5</v>
      </c>
      <c r="Y8" s="95">
        <f t="shared" si="0"/>
        <v>3000000</v>
      </c>
      <c r="Z8" s="101">
        <f t="shared" si="1"/>
        <v>0.03</v>
      </c>
      <c r="AA8" s="104">
        <f t="shared" si="2"/>
        <v>22.5</v>
      </c>
      <c r="AB8" s="95">
        <f t="shared" si="3"/>
        <v>3000000</v>
      </c>
      <c r="AC8" s="101">
        <f t="shared" si="4"/>
        <v>0.03</v>
      </c>
      <c r="AD8" s="104">
        <f t="shared" si="5"/>
        <v>0</v>
      </c>
      <c r="AE8" s="95">
        <f t="shared" si="6"/>
        <v>0</v>
      </c>
      <c r="AF8" s="101">
        <f t="shared" si="7"/>
        <v>0.03</v>
      </c>
      <c r="AG8" s="104">
        <f t="shared" si="8"/>
        <v>0</v>
      </c>
      <c r="AH8" s="95">
        <f t="shared" si="9"/>
        <v>0</v>
      </c>
      <c r="AI8" s="101">
        <f t="shared" si="10"/>
        <v>0.03</v>
      </c>
      <c r="AJ8" s="104">
        <f t="shared" si="11"/>
        <v>0</v>
      </c>
      <c r="AK8" s="99">
        <f t="shared" si="12"/>
        <v>90000</v>
      </c>
      <c r="AL8" s="96">
        <f t="shared" si="13"/>
        <v>0</v>
      </c>
      <c r="AM8" s="96">
        <f t="shared" si="14"/>
        <v>0</v>
      </c>
      <c r="AN8" s="96">
        <f t="shared" si="15"/>
        <v>0</v>
      </c>
      <c r="AO8" s="96">
        <f t="shared" si="16"/>
        <v>0</v>
      </c>
    </row>
    <row r="9" spans="1:41" x14ac:dyDescent="0.25">
      <c r="A9" s="89" t="s">
        <v>302</v>
      </c>
      <c r="B9" s="89">
        <v>4</v>
      </c>
      <c r="C9" s="89" t="str">
        <f>VLOOKUP(B9,'1.2 HR-Data luong'!A:B,2,0)</f>
        <v>ADS04</v>
      </c>
      <c r="D9" s="89" t="str">
        <f>VLOOKUP($C9,'1.2 HR-Data luong'!$B:$BG,D$5,0)</f>
        <v>BD02 HN</v>
      </c>
      <c r="E9" s="89" t="str">
        <f>VLOOKUP($C9,'1.2 HR-Data luong'!$B:$BG,E$5,0)</f>
        <v>NguyenVanD</v>
      </c>
      <c r="F9" s="89" t="str">
        <f>VLOOKUP($C9,'1.2 HR-Data luong'!$B:$BG,F$5,0)</f>
        <v>Nguyễn Văn D</v>
      </c>
      <c r="G9" s="89" t="str">
        <f>VLOOKUP($C9,'1.2 HR-Data luong'!$B:$BG,G$5,0)</f>
        <v>HN</v>
      </c>
      <c r="H9" s="89" t="str">
        <f>VLOOKUP($C9,'1.2 HR-Data luong'!$B:$BG,H$5,0)</f>
        <v>Nhân viên</v>
      </c>
      <c r="I9" s="89" t="str">
        <f>VLOOKUP($C9,'1.2 HR-Data luong'!$B:$BG,I$5,0)</f>
        <v>C2</v>
      </c>
      <c r="J9" s="89" t="str">
        <f>VLOOKUP($C9,'1.2 HR-Data luong'!$B:$BG,J$5,0)</f>
        <v>CT</v>
      </c>
      <c r="K9" s="95">
        <f>VLOOKUP($C9,'1.2 HR-Data luong'!$B:$BG,'1.2 HR-Data luong'!L$5,0)</f>
        <v>4000000</v>
      </c>
      <c r="L9" s="95">
        <f>VLOOKUP($C9,'1.2 HR-Data luong'!$B:$BG,'1.2 HR-Data luong'!M$5,0)</f>
        <v>0</v>
      </c>
      <c r="M9" s="92">
        <f>VLOOKUP($C9,'1.2 HR-Data luong'!$B:$BG,'1.2 HR-Data luong'!N$5,0)</f>
        <v>0</v>
      </c>
      <c r="N9" s="89">
        <f>VLOOKUP($C9,'1.2 HR-Data luong'!$B:$BG,'1.2 HR-Data luong'!O$5,0)</f>
        <v>0</v>
      </c>
      <c r="O9" s="94">
        <f>VLOOKUP($C9,'1.2 HR-Data luong'!$B:$BG,'1.2 HR-Data luong'!P$5,0)</f>
        <v>22.5</v>
      </c>
      <c r="P9" s="94">
        <f>VLOOKUP($C9,'1.2 HR-Data luong'!$B:$BG,'1.2 HR-Data luong'!Q$5,0)</f>
        <v>0</v>
      </c>
      <c r="Q9" s="94">
        <f>VLOOKUP($C9,'1.2 HR-Data luong'!$B:$BG,'1.2 HR-Data luong'!R$5,0)</f>
        <v>20.5</v>
      </c>
      <c r="R9" s="101">
        <f>VLOOKUP($C9,'1.2 HR-Data luong'!$B:$BG,'1.2 HR-Data luong'!W$5,0)</f>
        <v>0.04</v>
      </c>
      <c r="S9" s="101">
        <f>VLOOKUP($C9,'1.2 HR-Data luong'!$B:$BG,'1.2 HR-Data luong'!X$5,0)</f>
        <v>0</v>
      </c>
      <c r="T9" s="92">
        <f>VLOOKUP($C9,'1.2 HR-Data luong'!$B:$BG,'1.2 HR-Data luong'!Y$5,0)</f>
        <v>0</v>
      </c>
      <c r="U9" s="94">
        <f>VLOOKUP($C9,'1.2 HR-Data luong'!$B:$BG,'1.2 HR-Data luong'!Z$5,0)</f>
        <v>0</v>
      </c>
      <c r="V9" s="94">
        <f>VLOOKUP($C9,'1.2 HR-Data luong'!$B:$BG,'1.2 HR-Data luong'!AA$5,0)</f>
        <v>22.5</v>
      </c>
      <c r="W9" s="94">
        <f>VLOOKUP($C9,'1.2 HR-Data luong'!$B:$BG,'1.2 HR-Data luong'!AB$5,0)</f>
        <v>0</v>
      </c>
      <c r="X9" s="94">
        <f>VLOOKUP($C9,'1.2 HR-Data luong'!$B:$BG,'1.2 HR-Data luong'!AC$5,0)</f>
        <v>22.5</v>
      </c>
      <c r="Y9" s="95">
        <f t="shared" si="0"/>
        <v>4000000</v>
      </c>
      <c r="Z9" s="101">
        <f t="shared" si="1"/>
        <v>0.04</v>
      </c>
      <c r="AA9" s="104">
        <f t="shared" si="2"/>
        <v>22.5</v>
      </c>
      <c r="AB9" s="95">
        <f t="shared" si="3"/>
        <v>4000000</v>
      </c>
      <c r="AC9" s="101">
        <f t="shared" si="4"/>
        <v>0.04</v>
      </c>
      <c r="AD9" s="104">
        <f t="shared" si="5"/>
        <v>0</v>
      </c>
      <c r="AE9" s="95">
        <f t="shared" si="6"/>
        <v>0</v>
      </c>
      <c r="AF9" s="101">
        <f t="shared" si="7"/>
        <v>0.04</v>
      </c>
      <c r="AG9" s="104">
        <f t="shared" si="8"/>
        <v>0</v>
      </c>
      <c r="AH9" s="95">
        <f t="shared" si="9"/>
        <v>0</v>
      </c>
      <c r="AI9" s="101">
        <f t="shared" si="10"/>
        <v>0.04</v>
      </c>
      <c r="AJ9" s="104">
        <f t="shared" si="11"/>
        <v>0</v>
      </c>
      <c r="AK9" s="99">
        <f t="shared" si="12"/>
        <v>160000</v>
      </c>
      <c r="AL9" s="96">
        <f t="shared" si="13"/>
        <v>0</v>
      </c>
      <c r="AM9" s="96">
        <f t="shared" si="14"/>
        <v>0</v>
      </c>
      <c r="AN9" s="96">
        <f t="shared" si="15"/>
        <v>0</v>
      </c>
      <c r="AO9" s="96">
        <f t="shared" si="16"/>
        <v>0</v>
      </c>
    </row>
    <row r="10" spans="1:41" x14ac:dyDescent="0.25">
      <c r="A10" s="89" t="s">
        <v>302</v>
      </c>
      <c r="B10" s="89">
        <v>5</v>
      </c>
      <c r="C10" s="89" t="str">
        <f>VLOOKUP(B10,'1.2 HR-Data luong'!A:B,2,0)</f>
        <v>ADS05</v>
      </c>
      <c r="D10" s="89" t="str">
        <f>VLOOKUP($C10,'1.2 HR-Data luong'!$B:$BG,D$5,0)</f>
        <v>BD02 HN</v>
      </c>
      <c r="E10" s="89" t="str">
        <f>VLOOKUP($C10,'1.2 HR-Data luong'!$B:$BG,E$5,0)</f>
        <v>NguyenVanE</v>
      </c>
      <c r="F10" s="89" t="str">
        <f>VLOOKUP($C10,'1.2 HR-Data luong'!$B:$BG,F$5,0)</f>
        <v>Nguyễn Văn E</v>
      </c>
      <c r="G10" s="89" t="str">
        <f>VLOOKUP($C10,'1.2 HR-Data luong'!$B:$BG,G$5,0)</f>
        <v>HN</v>
      </c>
      <c r="H10" s="89" t="str">
        <f>VLOOKUP($C10,'1.2 HR-Data luong'!$B:$BG,H$5,0)</f>
        <v>Nhân viên</v>
      </c>
      <c r="I10" s="89" t="str">
        <f>VLOOKUP($C10,'1.2 HR-Data luong'!$B:$BG,I$5,0)</f>
        <v>C3</v>
      </c>
      <c r="J10" s="89" t="str">
        <f>VLOOKUP($C10,'1.2 HR-Data luong'!$B:$BG,J$5,0)</f>
        <v>CT</v>
      </c>
      <c r="K10" s="95">
        <f>VLOOKUP($C10,'1.2 HR-Data luong'!$B:$BG,'1.2 HR-Data luong'!L$5,0)</f>
        <v>5000000</v>
      </c>
      <c r="L10" s="95">
        <f>VLOOKUP($C10,'1.2 HR-Data luong'!$B:$BG,'1.2 HR-Data luong'!M$5,0)</f>
        <v>10000000</v>
      </c>
      <c r="M10" s="92">
        <f>VLOOKUP($C10,'1.2 HR-Data luong'!$B:$BG,'1.2 HR-Data luong'!N$5,0)</f>
        <v>42917</v>
      </c>
      <c r="N10" s="89" t="str">
        <f>VLOOKUP($C10,'1.2 HR-Data luong'!$B:$BG,'1.2 HR-Data luong'!O$5,0)</f>
        <v>Tăng lương do tăng cấp</v>
      </c>
      <c r="O10" s="94">
        <f>VLOOKUP($C10,'1.2 HR-Data luong'!$B:$BG,'1.2 HR-Data luong'!P$5,0)</f>
        <v>2</v>
      </c>
      <c r="P10" s="94">
        <f>VLOOKUP($C10,'1.2 HR-Data luong'!$B:$BG,'1.2 HR-Data luong'!Q$5,0)</f>
        <v>20.5</v>
      </c>
      <c r="Q10" s="94">
        <f>VLOOKUP($C10,'1.2 HR-Data luong'!$B:$BG,'1.2 HR-Data luong'!R$5,0)</f>
        <v>20.5</v>
      </c>
      <c r="R10" s="101">
        <f>VLOOKUP($C10,'1.2 HR-Data luong'!$B:$BG,'1.2 HR-Data luong'!W$5,0)</f>
        <v>0.05</v>
      </c>
      <c r="S10" s="101">
        <f>VLOOKUP($C10,'1.2 HR-Data luong'!$B:$BG,'1.2 HR-Data luong'!X$5,0)</f>
        <v>0.06</v>
      </c>
      <c r="T10" s="92">
        <f>VLOOKUP($C10,'1.2 HR-Data luong'!$B:$BG,'1.2 HR-Data luong'!Y$5,0)</f>
        <v>42916</v>
      </c>
      <c r="U10" s="94" t="str">
        <f>VLOOKUP($C10,'1.2 HR-Data luong'!$B:$BG,'1.2 HR-Data luong'!Z$5,0)</f>
        <v>Đủ 3 năm công tác</v>
      </c>
      <c r="V10" s="94">
        <f>VLOOKUP($C10,'1.2 HR-Data luong'!$B:$BG,'1.2 HR-Data luong'!AA$5,0)</f>
        <v>1</v>
      </c>
      <c r="W10" s="94">
        <f>VLOOKUP($C10,'1.2 HR-Data luong'!$B:$BG,'1.2 HR-Data luong'!AB$5,0)</f>
        <v>21.5</v>
      </c>
      <c r="X10" s="94">
        <f>VLOOKUP($C10,'1.2 HR-Data luong'!$B:$BG,'1.2 HR-Data luong'!AC$5,0)</f>
        <v>22.5</v>
      </c>
      <c r="Y10" s="95">
        <f t="shared" si="0"/>
        <v>5000000</v>
      </c>
      <c r="Z10" s="101">
        <f t="shared" si="1"/>
        <v>0.05</v>
      </c>
      <c r="AA10" s="104">
        <f t="shared" si="2"/>
        <v>1</v>
      </c>
      <c r="AB10" s="95">
        <f t="shared" si="3"/>
        <v>5000000</v>
      </c>
      <c r="AC10" s="101">
        <f t="shared" si="4"/>
        <v>0.06</v>
      </c>
      <c r="AD10" s="104">
        <f t="shared" si="5"/>
        <v>1</v>
      </c>
      <c r="AE10" s="95">
        <f t="shared" si="6"/>
        <v>10000000</v>
      </c>
      <c r="AF10" s="101">
        <f t="shared" si="7"/>
        <v>0.05</v>
      </c>
      <c r="AG10" s="104">
        <f t="shared" si="8"/>
        <v>0</v>
      </c>
      <c r="AH10" s="95">
        <f t="shared" si="9"/>
        <v>10000000</v>
      </c>
      <c r="AI10" s="101">
        <f t="shared" si="10"/>
        <v>0.06</v>
      </c>
      <c r="AJ10" s="104">
        <f t="shared" si="11"/>
        <v>20.5</v>
      </c>
      <c r="AK10" s="99">
        <f t="shared" si="12"/>
        <v>571111.11111111112</v>
      </c>
      <c r="AL10" s="96">
        <f t="shared" si="13"/>
        <v>0</v>
      </c>
      <c r="AM10" s="96">
        <f t="shared" si="14"/>
        <v>0</v>
      </c>
      <c r="AN10" s="96">
        <f t="shared" si="15"/>
        <v>0</v>
      </c>
      <c r="AO10" s="96">
        <f t="shared" si="16"/>
        <v>0</v>
      </c>
    </row>
    <row r="11" spans="1:41" x14ac:dyDescent="0.25">
      <c r="A11" s="89" t="s">
        <v>302</v>
      </c>
      <c r="B11" s="89">
        <v>6</v>
      </c>
      <c r="C11" s="89" t="str">
        <f>VLOOKUP(B11,'1.2 HR-Data luong'!A:B,2,0)</f>
        <v>ADS06</v>
      </c>
      <c r="D11" s="89" t="str">
        <f>VLOOKUP($C11,'1.2 HR-Data luong'!$B:$BG,D$5,0)</f>
        <v>BD03 SG</v>
      </c>
      <c r="E11" s="89" t="str">
        <f>VLOOKUP($C11,'1.2 HR-Data luong'!$B:$BG,E$5,0)</f>
        <v>NguyenVanF</v>
      </c>
      <c r="F11" s="89" t="str">
        <f>VLOOKUP($C11,'1.2 HR-Data luong'!$B:$BG,F$5,0)</f>
        <v>Nguyễn Văn F</v>
      </c>
      <c r="G11" s="89" t="str">
        <f>VLOOKUP($C11,'1.2 HR-Data luong'!$B:$BG,G$5,0)</f>
        <v>HCM</v>
      </c>
      <c r="H11" s="89" t="str">
        <f>VLOOKUP($C11,'1.2 HR-Data luong'!$B:$BG,H$5,0)</f>
        <v>Trưởng phòng</v>
      </c>
      <c r="I11" s="89" t="str">
        <f>VLOOKUP($C11,'1.2 HR-Data luong'!$B:$BG,I$5,0)</f>
        <v>TP C3</v>
      </c>
      <c r="J11" s="89" t="str">
        <f>VLOOKUP($C11,'1.2 HR-Data luong'!$B:$BG,J$5,0)</f>
        <v>CT</v>
      </c>
      <c r="K11" s="95">
        <f>VLOOKUP($C11,'1.2 HR-Data luong'!$B:$BG,'1.2 HR-Data luong'!L$5,0)</f>
        <v>6000000</v>
      </c>
      <c r="L11" s="95">
        <f>VLOOKUP($C11,'1.2 HR-Data luong'!$B:$BG,'1.2 HR-Data luong'!M$5,0)</f>
        <v>0</v>
      </c>
      <c r="M11" s="92">
        <f>VLOOKUP($C11,'1.2 HR-Data luong'!$B:$BG,'1.2 HR-Data luong'!N$5,0)</f>
        <v>0</v>
      </c>
      <c r="N11" s="89">
        <f>VLOOKUP($C11,'1.2 HR-Data luong'!$B:$BG,'1.2 HR-Data luong'!O$5,0)</f>
        <v>0</v>
      </c>
      <c r="O11" s="94">
        <f>VLOOKUP($C11,'1.2 HR-Data luong'!$B:$BG,'1.2 HR-Data luong'!P$5,0)</f>
        <v>22.5</v>
      </c>
      <c r="P11" s="94">
        <f>VLOOKUP($C11,'1.2 HR-Data luong'!$B:$BG,'1.2 HR-Data luong'!Q$5,0)</f>
        <v>0</v>
      </c>
      <c r="Q11" s="94">
        <f>VLOOKUP($C11,'1.2 HR-Data luong'!$B:$BG,'1.2 HR-Data luong'!R$5,0)</f>
        <v>22.5</v>
      </c>
      <c r="R11" s="101">
        <f>VLOOKUP($C11,'1.2 HR-Data luong'!$B:$BG,'1.2 HR-Data luong'!W$5,0)</f>
        <v>0.06</v>
      </c>
      <c r="S11" s="101">
        <f>VLOOKUP($C11,'1.2 HR-Data luong'!$B:$BG,'1.2 HR-Data luong'!X$5,0)</f>
        <v>0</v>
      </c>
      <c r="T11" s="92">
        <f>VLOOKUP($C11,'1.2 HR-Data luong'!$B:$BG,'1.2 HR-Data luong'!Y$5,0)</f>
        <v>0</v>
      </c>
      <c r="U11" s="94">
        <f>VLOOKUP($C11,'1.2 HR-Data luong'!$B:$BG,'1.2 HR-Data luong'!Z$5,0)</f>
        <v>0</v>
      </c>
      <c r="V11" s="94">
        <f>VLOOKUP($C11,'1.2 HR-Data luong'!$B:$BG,'1.2 HR-Data luong'!AA$5,0)</f>
        <v>22.5</v>
      </c>
      <c r="W11" s="94">
        <f>VLOOKUP($C11,'1.2 HR-Data luong'!$B:$BG,'1.2 HR-Data luong'!AB$5,0)</f>
        <v>0</v>
      </c>
      <c r="X11" s="94">
        <f>VLOOKUP($C11,'1.2 HR-Data luong'!$B:$BG,'1.2 HR-Data luong'!AC$5,0)</f>
        <v>22.5</v>
      </c>
      <c r="Y11" s="95">
        <f t="shared" si="0"/>
        <v>6000000</v>
      </c>
      <c r="Z11" s="101">
        <f t="shared" si="1"/>
        <v>0.06</v>
      </c>
      <c r="AA11" s="104">
        <f t="shared" si="2"/>
        <v>22.5</v>
      </c>
      <c r="AB11" s="95">
        <f t="shared" si="3"/>
        <v>6000000</v>
      </c>
      <c r="AC11" s="101">
        <f t="shared" si="4"/>
        <v>0.06</v>
      </c>
      <c r="AD11" s="104">
        <f t="shared" si="5"/>
        <v>0</v>
      </c>
      <c r="AE11" s="95">
        <f t="shared" si="6"/>
        <v>0</v>
      </c>
      <c r="AF11" s="101">
        <f t="shared" si="7"/>
        <v>0.06</v>
      </c>
      <c r="AG11" s="104">
        <f t="shared" si="8"/>
        <v>0</v>
      </c>
      <c r="AH11" s="95">
        <f t="shared" si="9"/>
        <v>0</v>
      </c>
      <c r="AI11" s="101">
        <f t="shared" si="10"/>
        <v>0.06</v>
      </c>
      <c r="AJ11" s="104">
        <f t="shared" si="11"/>
        <v>0</v>
      </c>
      <c r="AK11" s="99">
        <f t="shared" si="12"/>
        <v>360000</v>
      </c>
      <c r="AL11" s="96">
        <f t="shared" si="13"/>
        <v>0</v>
      </c>
      <c r="AM11" s="96">
        <f t="shared" si="14"/>
        <v>0</v>
      </c>
      <c r="AN11" s="96">
        <f t="shared" si="15"/>
        <v>0</v>
      </c>
      <c r="AO11" s="96">
        <f t="shared" si="16"/>
        <v>0</v>
      </c>
    </row>
    <row r="12" spans="1:41" x14ac:dyDescent="0.25">
      <c r="A12" s="89" t="s">
        <v>302</v>
      </c>
      <c r="B12" s="89">
        <v>7</v>
      </c>
      <c r="C12" s="89" t="str">
        <f>VLOOKUP(B12,'1.2 HR-Data luong'!A:B,2,0)</f>
        <v>ADS07</v>
      </c>
      <c r="D12" s="89" t="str">
        <f>VLOOKUP($C12,'1.2 HR-Data luong'!$B:$BG,D$5,0)</f>
        <v>BD03 SG</v>
      </c>
      <c r="E12" s="89" t="str">
        <f>VLOOKUP($C12,'1.2 HR-Data luong'!$B:$BG,E$5,0)</f>
        <v>NguyenVanG</v>
      </c>
      <c r="F12" s="89" t="str">
        <f>VLOOKUP($C12,'1.2 HR-Data luong'!$B:$BG,F$5,0)</f>
        <v>Nguyễn Văn G</v>
      </c>
      <c r="G12" s="89" t="str">
        <f>VLOOKUP($C12,'1.2 HR-Data luong'!$B:$BG,G$5,0)</f>
        <v>HCM</v>
      </c>
      <c r="H12" s="89" t="str">
        <f>VLOOKUP($C12,'1.2 HR-Data luong'!$B:$BG,H$5,0)</f>
        <v>Nhân viên</v>
      </c>
      <c r="I12" s="89" t="str">
        <f>VLOOKUP($C12,'1.2 HR-Data luong'!$B:$BG,I$5,0)</f>
        <v>C4</v>
      </c>
      <c r="J12" s="89" t="str">
        <f>VLOOKUP($C12,'1.2 HR-Data luong'!$B:$BG,J$5,0)</f>
        <v>CT</v>
      </c>
      <c r="K12" s="95">
        <f>VLOOKUP($C12,'1.2 HR-Data luong'!$B:$BG,'1.2 HR-Data luong'!L$5,0)</f>
        <v>7000000</v>
      </c>
      <c r="L12" s="95">
        <f>VLOOKUP($C12,'1.2 HR-Data luong'!$B:$BG,'1.2 HR-Data luong'!M$5,0)</f>
        <v>0</v>
      </c>
      <c r="M12" s="92">
        <f>VLOOKUP($C12,'1.2 HR-Data luong'!$B:$BG,'1.2 HR-Data luong'!N$5,0)</f>
        <v>0</v>
      </c>
      <c r="N12" s="89">
        <f>VLOOKUP($C12,'1.2 HR-Data luong'!$B:$BG,'1.2 HR-Data luong'!O$5,0)</f>
        <v>0</v>
      </c>
      <c r="O12" s="94">
        <f>VLOOKUP($C12,'1.2 HR-Data luong'!$B:$BG,'1.2 HR-Data luong'!P$5,0)</f>
        <v>22.5</v>
      </c>
      <c r="P12" s="94">
        <f>VLOOKUP($C12,'1.2 HR-Data luong'!$B:$BG,'1.2 HR-Data luong'!Q$5,0)</f>
        <v>0</v>
      </c>
      <c r="Q12" s="94">
        <f>VLOOKUP($C12,'1.2 HR-Data luong'!$B:$BG,'1.2 HR-Data luong'!R$5,0)</f>
        <v>22.5</v>
      </c>
      <c r="R12" s="101">
        <f>VLOOKUP($C12,'1.2 HR-Data luong'!$B:$BG,'1.2 HR-Data luong'!W$5,0)</f>
        <v>7.0000000000000007E-2</v>
      </c>
      <c r="S12" s="101">
        <f>VLOOKUP($C12,'1.2 HR-Data luong'!$B:$BG,'1.2 HR-Data luong'!X$5,0)</f>
        <v>0</v>
      </c>
      <c r="T12" s="92">
        <f>VLOOKUP($C12,'1.2 HR-Data luong'!$B:$BG,'1.2 HR-Data luong'!Y$5,0)</f>
        <v>0</v>
      </c>
      <c r="U12" s="94">
        <f>VLOOKUP($C12,'1.2 HR-Data luong'!$B:$BG,'1.2 HR-Data luong'!Z$5,0)</f>
        <v>0</v>
      </c>
      <c r="V12" s="94">
        <f>VLOOKUP($C12,'1.2 HR-Data luong'!$B:$BG,'1.2 HR-Data luong'!AA$5,0)</f>
        <v>22.5</v>
      </c>
      <c r="W12" s="94">
        <f>VLOOKUP($C12,'1.2 HR-Data luong'!$B:$BG,'1.2 HR-Data luong'!AB$5,0)</f>
        <v>0</v>
      </c>
      <c r="X12" s="94">
        <f>VLOOKUP($C12,'1.2 HR-Data luong'!$B:$BG,'1.2 HR-Data luong'!AC$5,0)</f>
        <v>22.5</v>
      </c>
      <c r="Y12" s="95">
        <f t="shared" si="0"/>
        <v>7000000</v>
      </c>
      <c r="Z12" s="101">
        <f t="shared" si="1"/>
        <v>7.0000000000000007E-2</v>
      </c>
      <c r="AA12" s="104">
        <f t="shared" si="2"/>
        <v>22.5</v>
      </c>
      <c r="AB12" s="95">
        <f t="shared" si="3"/>
        <v>7000000</v>
      </c>
      <c r="AC12" s="101">
        <f t="shared" si="4"/>
        <v>7.0000000000000007E-2</v>
      </c>
      <c r="AD12" s="104">
        <f t="shared" si="5"/>
        <v>0</v>
      </c>
      <c r="AE12" s="95">
        <f t="shared" si="6"/>
        <v>0</v>
      </c>
      <c r="AF12" s="101">
        <f t="shared" si="7"/>
        <v>7.0000000000000007E-2</v>
      </c>
      <c r="AG12" s="104">
        <f t="shared" si="8"/>
        <v>0</v>
      </c>
      <c r="AH12" s="95">
        <f t="shared" si="9"/>
        <v>0</v>
      </c>
      <c r="AI12" s="101">
        <f t="shared" si="10"/>
        <v>7.0000000000000007E-2</v>
      </c>
      <c r="AJ12" s="104">
        <f t="shared" si="11"/>
        <v>0</v>
      </c>
      <c r="AK12" s="99">
        <f t="shared" si="12"/>
        <v>490000.00000000006</v>
      </c>
      <c r="AL12" s="96">
        <f t="shared" si="13"/>
        <v>0</v>
      </c>
      <c r="AM12" s="96">
        <f t="shared" si="14"/>
        <v>0</v>
      </c>
      <c r="AN12" s="96">
        <f t="shared" si="15"/>
        <v>0</v>
      </c>
      <c r="AO12" s="96">
        <f t="shared" si="16"/>
        <v>0</v>
      </c>
    </row>
    <row r="13" spans="1:41" x14ac:dyDescent="0.25">
      <c r="A13" s="89" t="s">
        <v>302</v>
      </c>
      <c r="B13" s="89">
        <v>8</v>
      </c>
      <c r="C13" s="89" t="str">
        <f>VLOOKUP(B13,'1.2 HR-Data luong'!A:B,2,0)</f>
        <v>ADS08</v>
      </c>
      <c r="D13" s="89" t="str">
        <f>VLOOKUP($C13,'1.2 HR-Data luong'!$B:$BG,D$5,0)</f>
        <v>BD03 SG</v>
      </c>
      <c r="E13" s="89" t="str">
        <f>VLOOKUP($C13,'1.2 HR-Data luong'!$B:$BG,E$5,0)</f>
        <v>NguyenVanH</v>
      </c>
      <c r="F13" s="89" t="str">
        <f>VLOOKUP($C13,'1.2 HR-Data luong'!$B:$BG,F$5,0)</f>
        <v>Nguyễn Văn H</v>
      </c>
      <c r="G13" s="89" t="str">
        <f>VLOOKUP($C13,'1.2 HR-Data luong'!$B:$BG,G$5,0)</f>
        <v>HCM</v>
      </c>
      <c r="H13" s="89" t="str">
        <f>VLOOKUP($C13,'1.2 HR-Data luong'!$B:$BG,H$5,0)</f>
        <v>Nhân viên</v>
      </c>
      <c r="I13" s="89" t="str">
        <f>VLOOKUP($C13,'1.2 HR-Data luong'!$B:$BG,I$5,0)</f>
        <v>S1</v>
      </c>
      <c r="J13" s="89" t="str">
        <f>VLOOKUP($C13,'1.2 HR-Data luong'!$B:$BG,J$5,0)</f>
        <v>CT</v>
      </c>
      <c r="K13" s="95">
        <f>VLOOKUP($C13,'1.2 HR-Data luong'!$B:$BG,'1.2 HR-Data luong'!L$5,0)</f>
        <v>8000000</v>
      </c>
      <c r="L13" s="95">
        <f>VLOOKUP($C13,'1.2 HR-Data luong'!$B:$BG,'1.2 HR-Data luong'!M$5,0)</f>
        <v>10000000</v>
      </c>
      <c r="M13" s="92">
        <f>VLOOKUP($C13,'1.2 HR-Data luong'!$B:$BG,'1.2 HR-Data luong'!N$5,0)</f>
        <v>42931</v>
      </c>
      <c r="N13" s="89" t="str">
        <f>VLOOKUP($C13,'1.2 HR-Data luong'!$B:$BG,'1.2 HR-Data luong'!O$5,0)</f>
        <v>Tăng lương do tăng cấp</v>
      </c>
      <c r="O13" s="94">
        <f>VLOOKUP($C13,'1.2 HR-Data luong'!$B:$BG,'1.2 HR-Data luong'!P$5,0)</f>
        <v>10</v>
      </c>
      <c r="P13" s="94">
        <f>VLOOKUP($C13,'1.2 HR-Data luong'!$B:$BG,'1.2 HR-Data luong'!Q$5,0)</f>
        <v>12.5</v>
      </c>
      <c r="Q13" s="94">
        <f>VLOOKUP($C13,'1.2 HR-Data luong'!$B:$BG,'1.2 HR-Data luong'!R$5,0)</f>
        <v>22.5</v>
      </c>
      <c r="R13" s="101">
        <f>VLOOKUP($C13,'1.2 HR-Data luong'!$B:$BG,'1.2 HR-Data luong'!W$5,0)</f>
        <v>0.08</v>
      </c>
      <c r="S13" s="101">
        <f>VLOOKUP($C13,'1.2 HR-Data luong'!$B:$BG,'1.2 HR-Data luong'!X$5,0)</f>
        <v>0.09</v>
      </c>
      <c r="T13" s="92">
        <f>VLOOKUP($C13,'1.2 HR-Data luong'!$B:$BG,'1.2 HR-Data luong'!Y$5,0)</f>
        <v>42933</v>
      </c>
      <c r="U13" s="94" t="str">
        <f>VLOOKUP($C13,'1.2 HR-Data luong'!$B:$BG,'1.2 HR-Data luong'!Z$5,0)</f>
        <v>Đủ 3 năm công tác</v>
      </c>
      <c r="V13" s="94">
        <f>VLOOKUP($C13,'1.2 HR-Data luong'!$B:$BG,'1.2 HR-Data luong'!AA$5,0)</f>
        <v>12</v>
      </c>
      <c r="W13" s="94">
        <f>VLOOKUP($C13,'1.2 HR-Data luong'!$B:$BG,'1.2 HR-Data luong'!AB$5,0)</f>
        <v>10.5</v>
      </c>
      <c r="X13" s="94">
        <f>VLOOKUP($C13,'1.2 HR-Data luong'!$B:$BG,'1.2 HR-Data luong'!AC$5,0)</f>
        <v>22.5</v>
      </c>
      <c r="Y13" s="95">
        <f t="shared" si="0"/>
        <v>8000000</v>
      </c>
      <c r="Z13" s="101">
        <f t="shared" si="1"/>
        <v>0.08</v>
      </c>
      <c r="AA13" s="104">
        <f t="shared" si="2"/>
        <v>10</v>
      </c>
      <c r="AB13" s="95">
        <f t="shared" si="3"/>
        <v>8000000</v>
      </c>
      <c r="AC13" s="101">
        <f t="shared" si="4"/>
        <v>0.09</v>
      </c>
      <c r="AD13" s="104">
        <f t="shared" si="5"/>
        <v>0</v>
      </c>
      <c r="AE13" s="95">
        <f t="shared" si="6"/>
        <v>10000000</v>
      </c>
      <c r="AF13" s="101">
        <f t="shared" si="7"/>
        <v>0.08</v>
      </c>
      <c r="AG13" s="104">
        <f t="shared" si="8"/>
        <v>2</v>
      </c>
      <c r="AH13" s="95">
        <f t="shared" si="9"/>
        <v>10000000</v>
      </c>
      <c r="AI13" s="101">
        <f t="shared" si="10"/>
        <v>0.09</v>
      </c>
      <c r="AJ13" s="104">
        <f t="shared" si="11"/>
        <v>10.5</v>
      </c>
      <c r="AK13" s="99">
        <f t="shared" si="12"/>
        <v>775555.5555555555</v>
      </c>
      <c r="AL13" s="96">
        <f t="shared" si="13"/>
        <v>0</v>
      </c>
      <c r="AM13" s="96">
        <f t="shared" si="14"/>
        <v>0</v>
      </c>
      <c r="AN13" s="96">
        <f t="shared" si="15"/>
        <v>0</v>
      </c>
      <c r="AO13" s="96">
        <f t="shared" si="16"/>
        <v>0</v>
      </c>
    </row>
    <row r="14" spans="1:41" x14ac:dyDescent="0.25">
      <c r="A14" s="89" t="s">
        <v>302</v>
      </c>
      <c r="B14" s="89">
        <v>9</v>
      </c>
      <c r="C14" s="89" t="str">
        <f>VLOOKUP(B14,'1.2 HR-Data luong'!A:B,2,0)</f>
        <v>ADS09</v>
      </c>
      <c r="D14" s="89" t="str">
        <f>VLOOKUP($C14,'1.2 HR-Data luong'!$B:$BG,D$5,0)</f>
        <v>HR HN</v>
      </c>
      <c r="E14" s="89" t="str">
        <f>VLOOKUP($C14,'1.2 HR-Data luong'!$B:$BG,E$5,0)</f>
        <v>NguyenVanI</v>
      </c>
      <c r="F14" s="89" t="str">
        <f>VLOOKUP($C14,'1.2 HR-Data luong'!$B:$BG,F$5,0)</f>
        <v>Nguyễn Văn I</v>
      </c>
      <c r="G14" s="89" t="str">
        <f>VLOOKUP($C14,'1.2 HR-Data luong'!$B:$BG,G$5,0)</f>
        <v>HN</v>
      </c>
      <c r="H14" s="89" t="str">
        <f>VLOOKUP($C14,'1.2 HR-Data luong'!$B:$BG,H$5,0)</f>
        <v>Trưởng phòng</v>
      </c>
      <c r="I14" s="89" t="str">
        <f>VLOOKUP($C14,'1.2 HR-Data luong'!$B:$BG,I$5,0)</f>
        <v>TP KPC</v>
      </c>
      <c r="J14" s="89" t="str">
        <f>VLOOKUP($C14,'1.2 HR-Data luong'!$B:$BG,J$5,0)</f>
        <v>CT</v>
      </c>
      <c r="K14" s="95">
        <f>VLOOKUP($C14,'1.2 HR-Data luong'!$B:$BG,'1.2 HR-Data luong'!L$5,0)</f>
        <v>9000000</v>
      </c>
      <c r="L14" s="95">
        <f>VLOOKUP($C14,'1.2 HR-Data luong'!$B:$BG,'1.2 HR-Data luong'!M$5,0)</f>
        <v>0</v>
      </c>
      <c r="M14" s="92">
        <f>VLOOKUP($C14,'1.2 HR-Data luong'!$B:$BG,'1.2 HR-Data luong'!N$5,0)</f>
        <v>0</v>
      </c>
      <c r="N14" s="89">
        <f>VLOOKUP($C14,'1.2 HR-Data luong'!$B:$BG,'1.2 HR-Data luong'!O$5,0)</f>
        <v>0</v>
      </c>
      <c r="O14" s="94">
        <f>VLOOKUP($C14,'1.2 HR-Data luong'!$B:$BG,'1.2 HR-Data luong'!P$5,0)</f>
        <v>22.5</v>
      </c>
      <c r="P14" s="94">
        <f>VLOOKUP($C14,'1.2 HR-Data luong'!$B:$BG,'1.2 HR-Data luong'!Q$5,0)</f>
        <v>0</v>
      </c>
      <c r="Q14" s="94">
        <f>VLOOKUP($C14,'1.2 HR-Data luong'!$B:$BG,'1.2 HR-Data luong'!R$5,0)</f>
        <v>22.5</v>
      </c>
      <c r="R14" s="101">
        <f>VLOOKUP($C14,'1.2 HR-Data luong'!$B:$BG,'1.2 HR-Data luong'!W$5,0)</f>
        <v>0.09</v>
      </c>
      <c r="S14" s="101">
        <f>VLOOKUP($C14,'1.2 HR-Data luong'!$B:$BG,'1.2 HR-Data luong'!X$5,0)</f>
        <v>0</v>
      </c>
      <c r="T14" s="92">
        <f>VLOOKUP($C14,'1.2 HR-Data luong'!$B:$BG,'1.2 HR-Data luong'!Y$5,0)</f>
        <v>0</v>
      </c>
      <c r="U14" s="94">
        <f>VLOOKUP($C14,'1.2 HR-Data luong'!$B:$BG,'1.2 HR-Data luong'!Z$5,0)</f>
        <v>0</v>
      </c>
      <c r="V14" s="94">
        <f>VLOOKUP($C14,'1.2 HR-Data luong'!$B:$BG,'1.2 HR-Data luong'!AA$5,0)</f>
        <v>22.5</v>
      </c>
      <c r="W14" s="94">
        <f>VLOOKUP($C14,'1.2 HR-Data luong'!$B:$BG,'1.2 HR-Data luong'!AB$5,0)</f>
        <v>0</v>
      </c>
      <c r="X14" s="94">
        <f>VLOOKUP($C14,'1.2 HR-Data luong'!$B:$BG,'1.2 HR-Data luong'!AC$5,0)</f>
        <v>22.5</v>
      </c>
      <c r="Y14" s="95">
        <f t="shared" si="0"/>
        <v>9000000</v>
      </c>
      <c r="Z14" s="101">
        <f t="shared" si="1"/>
        <v>0.09</v>
      </c>
      <c r="AA14" s="104">
        <f t="shared" si="2"/>
        <v>22.5</v>
      </c>
      <c r="AB14" s="95">
        <f t="shared" si="3"/>
        <v>9000000</v>
      </c>
      <c r="AC14" s="101">
        <f t="shared" si="4"/>
        <v>0.09</v>
      </c>
      <c r="AD14" s="104">
        <f t="shared" si="5"/>
        <v>0</v>
      </c>
      <c r="AE14" s="95">
        <f t="shared" si="6"/>
        <v>0</v>
      </c>
      <c r="AF14" s="101">
        <f t="shared" si="7"/>
        <v>0.09</v>
      </c>
      <c r="AG14" s="104">
        <f t="shared" si="8"/>
        <v>0</v>
      </c>
      <c r="AH14" s="95">
        <f t="shared" si="9"/>
        <v>0</v>
      </c>
      <c r="AI14" s="101">
        <f t="shared" si="10"/>
        <v>0.09</v>
      </c>
      <c r="AJ14" s="104">
        <f t="shared" si="11"/>
        <v>0</v>
      </c>
      <c r="AK14" s="99">
        <f t="shared" si="12"/>
        <v>810000</v>
      </c>
      <c r="AL14" s="96">
        <f t="shared" si="13"/>
        <v>0</v>
      </c>
      <c r="AM14" s="96">
        <f t="shared" si="14"/>
        <v>0</v>
      </c>
      <c r="AN14" s="96">
        <f t="shared" si="15"/>
        <v>0</v>
      </c>
      <c r="AO14" s="96">
        <f t="shared" si="16"/>
        <v>0</v>
      </c>
    </row>
    <row r="15" spans="1:41" x14ac:dyDescent="0.25">
      <c r="A15" s="89" t="s">
        <v>302</v>
      </c>
      <c r="B15" s="89">
        <v>10</v>
      </c>
      <c r="C15" s="89" t="str">
        <f>VLOOKUP(B15,'1.2 HR-Data luong'!A:B,2,0)</f>
        <v>ADS10</v>
      </c>
      <c r="D15" s="89" t="str">
        <f>VLOOKUP($C15,'1.2 HR-Data luong'!$B:$BG,D$5,0)</f>
        <v>HR HN</v>
      </c>
      <c r="E15" s="89" t="str">
        <f>VLOOKUP($C15,'1.2 HR-Data luong'!$B:$BG,E$5,0)</f>
        <v>NguyenVanK</v>
      </c>
      <c r="F15" s="89" t="str">
        <f>VLOOKUP($C15,'1.2 HR-Data luong'!$B:$BG,F$5,0)</f>
        <v>Nguyễn Văn K</v>
      </c>
      <c r="G15" s="89" t="str">
        <f>VLOOKUP($C15,'1.2 HR-Data luong'!$B:$BG,G$5,0)</f>
        <v>HN</v>
      </c>
      <c r="H15" s="89" t="str">
        <f>VLOOKUP($C15,'1.2 HR-Data luong'!$B:$BG,H$5,0)</f>
        <v>Nhân viên</v>
      </c>
      <c r="I15" s="89" t="str">
        <f>VLOOKUP($C15,'1.2 HR-Data luong'!$B:$BG,I$5,0)</f>
        <v>C1</v>
      </c>
      <c r="J15" s="89" t="str">
        <f>VLOOKUP($C15,'1.2 HR-Data luong'!$B:$BG,J$5,0)</f>
        <v>CT</v>
      </c>
      <c r="K15" s="95">
        <f>VLOOKUP($C15,'1.2 HR-Data luong'!$B:$BG,'1.2 HR-Data luong'!L$5,0)</f>
        <v>10000000</v>
      </c>
      <c r="L15" s="95">
        <f>VLOOKUP($C15,'1.2 HR-Data luong'!$B:$BG,'1.2 HR-Data luong'!M$5,0)</f>
        <v>0</v>
      </c>
      <c r="M15" s="92">
        <f>VLOOKUP($C15,'1.2 HR-Data luong'!$B:$BG,'1.2 HR-Data luong'!N$5,0)</f>
        <v>0</v>
      </c>
      <c r="N15" s="89">
        <f>VLOOKUP($C15,'1.2 HR-Data luong'!$B:$BG,'1.2 HR-Data luong'!O$5,0)</f>
        <v>0</v>
      </c>
      <c r="O15" s="94">
        <f>VLOOKUP($C15,'1.2 HR-Data luong'!$B:$BG,'1.2 HR-Data luong'!P$5,0)</f>
        <v>22.5</v>
      </c>
      <c r="P15" s="94">
        <f>VLOOKUP($C15,'1.2 HR-Data luong'!$B:$BG,'1.2 HR-Data luong'!Q$5,0)</f>
        <v>0</v>
      </c>
      <c r="Q15" s="94">
        <f>VLOOKUP($C15,'1.2 HR-Data luong'!$B:$BG,'1.2 HR-Data luong'!R$5,0)</f>
        <v>22.5</v>
      </c>
      <c r="R15" s="101">
        <f>VLOOKUP($C15,'1.2 HR-Data luong'!$B:$BG,'1.2 HR-Data luong'!W$5,0)</f>
        <v>0.1</v>
      </c>
      <c r="S15" s="101">
        <f>VLOOKUP($C15,'1.2 HR-Data luong'!$B:$BG,'1.2 HR-Data luong'!X$5,0)</f>
        <v>0</v>
      </c>
      <c r="T15" s="92">
        <f>VLOOKUP($C15,'1.2 HR-Data luong'!$B:$BG,'1.2 HR-Data luong'!Y$5,0)</f>
        <v>0</v>
      </c>
      <c r="U15" s="94">
        <f>VLOOKUP($C15,'1.2 HR-Data luong'!$B:$BG,'1.2 HR-Data luong'!Z$5,0)</f>
        <v>0</v>
      </c>
      <c r="V15" s="94">
        <f>VLOOKUP($C15,'1.2 HR-Data luong'!$B:$BG,'1.2 HR-Data luong'!AA$5,0)</f>
        <v>22.5</v>
      </c>
      <c r="W15" s="94">
        <f>VLOOKUP($C15,'1.2 HR-Data luong'!$B:$BG,'1.2 HR-Data luong'!AB$5,0)</f>
        <v>0</v>
      </c>
      <c r="X15" s="94">
        <f>VLOOKUP($C15,'1.2 HR-Data luong'!$B:$BG,'1.2 HR-Data luong'!AC$5,0)</f>
        <v>22.5</v>
      </c>
      <c r="Y15" s="95">
        <f t="shared" si="0"/>
        <v>10000000</v>
      </c>
      <c r="Z15" s="101">
        <f t="shared" si="1"/>
        <v>0.1</v>
      </c>
      <c r="AA15" s="104">
        <f t="shared" si="2"/>
        <v>22.5</v>
      </c>
      <c r="AB15" s="95">
        <f t="shared" si="3"/>
        <v>10000000</v>
      </c>
      <c r="AC15" s="101">
        <f t="shared" si="4"/>
        <v>0.1</v>
      </c>
      <c r="AD15" s="104">
        <f t="shared" si="5"/>
        <v>0</v>
      </c>
      <c r="AE15" s="95">
        <f t="shared" si="6"/>
        <v>0</v>
      </c>
      <c r="AF15" s="101">
        <f t="shared" si="7"/>
        <v>0.1</v>
      </c>
      <c r="AG15" s="104">
        <f t="shared" si="8"/>
        <v>0</v>
      </c>
      <c r="AH15" s="95">
        <f t="shared" si="9"/>
        <v>0</v>
      </c>
      <c r="AI15" s="101">
        <f t="shared" si="10"/>
        <v>0.1</v>
      </c>
      <c r="AJ15" s="104">
        <f t="shared" si="11"/>
        <v>0</v>
      </c>
      <c r="AK15" s="99">
        <f t="shared" si="12"/>
        <v>1000000</v>
      </c>
      <c r="AL15" s="96">
        <f t="shared" si="13"/>
        <v>0</v>
      </c>
      <c r="AM15" s="96">
        <f t="shared" si="14"/>
        <v>0</v>
      </c>
      <c r="AN15" s="96">
        <f t="shared" si="15"/>
        <v>0</v>
      </c>
      <c r="AO15" s="96">
        <f t="shared" si="16"/>
        <v>0</v>
      </c>
    </row>
  </sheetData>
  <mergeCells count="27">
    <mergeCell ref="A3:A4"/>
    <mergeCell ref="V3:X3"/>
    <mergeCell ref="Y3:Y4"/>
    <mergeCell ref="Z3:Z4"/>
    <mergeCell ref="R3:U3"/>
    <mergeCell ref="G3:G4"/>
    <mergeCell ref="B3:B4"/>
    <mergeCell ref="C3:C4"/>
    <mergeCell ref="D3:D4"/>
    <mergeCell ref="E3:E4"/>
    <mergeCell ref="F3:F4"/>
    <mergeCell ref="AA3:AA4"/>
    <mergeCell ref="AD3:AD4"/>
    <mergeCell ref="AG3:AG4"/>
    <mergeCell ref="H3:H4"/>
    <mergeCell ref="I3:I4"/>
    <mergeCell ref="J3:J4"/>
    <mergeCell ref="K3:N3"/>
    <mergeCell ref="O3:Q3"/>
    <mergeCell ref="AK3:AK4"/>
    <mergeCell ref="AB3:AB4"/>
    <mergeCell ref="AC3:AC4"/>
    <mergeCell ref="AE3:AE4"/>
    <mergeCell ref="AF3:AF4"/>
    <mergeCell ref="AJ3:AJ4"/>
    <mergeCell ref="AI3:AI4"/>
    <mergeCell ref="AH3:AH4"/>
  </mergeCells>
  <conditionalFormatting sqref="C3:C5 E5 G5 I5 K5 M5 O5 Q5 S5 U5 W5 Y5 AA5 AC5 AE5 AG5 AI5 AK5">
    <cfRule type="duplicateValues" dxfId="6" priority="5"/>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5"/>
  <sheetViews>
    <sheetView topLeftCell="C1" zoomScale="85" zoomScaleNormal="85" workbookViewId="0">
      <selection activeCell="P6" sqref="P6"/>
    </sheetView>
  </sheetViews>
  <sheetFormatPr defaultRowHeight="15" x14ac:dyDescent="0.25"/>
  <cols>
    <col min="5" max="6" width="16.42578125" customWidth="1"/>
    <col min="8" max="8" width="16" customWidth="1"/>
    <col min="11" max="20" width="12.28515625" customWidth="1"/>
  </cols>
  <sheetData>
    <row r="1" spans="1:20" x14ac:dyDescent="0.25">
      <c r="A1" s="97" t="s">
        <v>312</v>
      </c>
    </row>
    <row r="2" spans="1:20" x14ac:dyDescent="0.25">
      <c r="B2" s="97"/>
    </row>
    <row r="3" spans="1:20" x14ac:dyDescent="0.25">
      <c r="A3" s="336" t="s">
        <v>469</v>
      </c>
      <c r="B3" s="336" t="s">
        <v>0</v>
      </c>
      <c r="C3" s="336" t="s">
        <v>1</v>
      </c>
      <c r="D3" s="336" t="s">
        <v>2</v>
      </c>
      <c r="E3" s="336" t="s">
        <v>218</v>
      </c>
      <c r="F3" s="336" t="s">
        <v>3</v>
      </c>
      <c r="G3" s="336" t="s">
        <v>4</v>
      </c>
      <c r="H3" s="336" t="s">
        <v>5</v>
      </c>
      <c r="I3" s="336" t="s">
        <v>6</v>
      </c>
      <c r="J3" s="336" t="s">
        <v>7</v>
      </c>
      <c r="K3" s="322" t="s">
        <v>236</v>
      </c>
      <c r="L3" s="323"/>
      <c r="M3" s="325" t="s">
        <v>237</v>
      </c>
      <c r="N3" s="325" t="s">
        <v>238</v>
      </c>
      <c r="O3" s="342" t="s">
        <v>313</v>
      </c>
      <c r="P3" s="322" t="s">
        <v>314</v>
      </c>
      <c r="Q3" s="323"/>
      <c r="R3" s="325" t="s">
        <v>237</v>
      </c>
      <c r="S3" s="325" t="s">
        <v>238</v>
      </c>
      <c r="T3" s="342" t="s">
        <v>320</v>
      </c>
    </row>
    <row r="4" spans="1:20" ht="25.5" x14ac:dyDescent="0.25">
      <c r="A4" s="336"/>
      <c r="B4" s="336"/>
      <c r="C4" s="336"/>
      <c r="D4" s="336"/>
      <c r="E4" s="336"/>
      <c r="F4" s="336"/>
      <c r="G4" s="336"/>
      <c r="H4" s="336"/>
      <c r="I4" s="336"/>
      <c r="J4" s="336"/>
      <c r="K4" s="87" t="s">
        <v>180</v>
      </c>
      <c r="L4" s="86" t="s">
        <v>235</v>
      </c>
      <c r="M4" s="325"/>
      <c r="N4" s="325"/>
      <c r="O4" s="343"/>
      <c r="P4" s="107" t="s">
        <v>180</v>
      </c>
      <c r="Q4" s="108" t="s">
        <v>235</v>
      </c>
      <c r="R4" s="325"/>
      <c r="S4" s="325"/>
      <c r="T4" s="343"/>
    </row>
    <row r="5" spans="1:20" x14ac:dyDescent="0.25">
      <c r="A5" s="90"/>
      <c r="B5" s="90"/>
      <c r="C5" s="90">
        <v>1</v>
      </c>
      <c r="D5" s="90">
        <v>2</v>
      </c>
      <c r="E5" s="90">
        <v>3</v>
      </c>
      <c r="F5" s="90">
        <v>4</v>
      </c>
      <c r="G5" s="90">
        <v>5</v>
      </c>
      <c r="H5" s="90">
        <v>6</v>
      </c>
      <c r="I5" s="90">
        <v>7</v>
      </c>
      <c r="J5" s="90">
        <v>8</v>
      </c>
      <c r="K5" s="90">
        <v>9</v>
      </c>
      <c r="L5" s="90">
        <v>10</v>
      </c>
      <c r="M5" s="90">
        <v>11</v>
      </c>
      <c r="N5" s="90">
        <v>12</v>
      </c>
      <c r="O5" s="90">
        <v>13</v>
      </c>
      <c r="P5" s="90">
        <v>14</v>
      </c>
      <c r="Q5" s="90">
        <v>15</v>
      </c>
      <c r="R5" s="90">
        <v>16</v>
      </c>
      <c r="S5" s="90">
        <v>17</v>
      </c>
      <c r="T5" s="90">
        <v>18</v>
      </c>
    </row>
    <row r="6" spans="1:20" x14ac:dyDescent="0.25">
      <c r="A6" s="89" t="s">
        <v>302</v>
      </c>
      <c r="B6" s="89">
        <v>1</v>
      </c>
      <c r="C6" s="89" t="str">
        <f>VLOOKUP(B6,'1.2 HR-Data luong'!A:B,2,0)</f>
        <v>ADS01</v>
      </c>
      <c r="D6" s="89" t="str">
        <f>VLOOKUP($C6,'1.2 HR-Data luong'!$B:$BG,D$5,0)</f>
        <v>BD01 HN</v>
      </c>
      <c r="E6" s="89" t="str">
        <f>VLOOKUP($C6,'1.2 HR-Data luong'!$B:$BG,E$5,0)</f>
        <v>NguyenVanA</v>
      </c>
      <c r="F6" s="89" t="str">
        <f>VLOOKUP($C6,'1.2 HR-Data luong'!$B:$BG,F$5,0)</f>
        <v>Nguyễn Văn A</v>
      </c>
      <c r="G6" s="89" t="str">
        <f>VLOOKUP($C6,'1.2 HR-Data luong'!$B:$BG,G$5,0)</f>
        <v>HN</v>
      </c>
      <c r="H6" s="89" t="str">
        <f>VLOOKUP($C6,'1.2 HR-Data luong'!$B:$BG,H$5,0)</f>
        <v>Trưởng phòng</v>
      </c>
      <c r="I6" s="89" t="str">
        <f>VLOOKUP($C6,'1.2 HR-Data luong'!$B:$BG,I$5,0)</f>
        <v>TP C1</v>
      </c>
      <c r="J6" s="89" t="str">
        <f>VLOOKUP($C6,'1.2 HR-Data luong'!$B:$BG,J$5,0)</f>
        <v>CT</v>
      </c>
      <c r="K6" s="95">
        <f>VLOOKUP($C6,'1.2 HR-Data luong'!$B:$BG,'1.2 HR-Data luong'!AD$5,0)</f>
        <v>200000</v>
      </c>
      <c r="L6" s="114">
        <f>VLOOKUP($C6,'1.2 HR-Data luong'!$B:$BG,'1.2 HR-Data luong'!AE$5,0)</f>
        <v>15</v>
      </c>
      <c r="M6" s="114">
        <v>22.5</v>
      </c>
      <c r="N6" s="114">
        <f>VLOOKUP(C6,'1.2 HR-Data luong'!B:R,'1.2 HR-Data luong'!R$5,0)</f>
        <v>20.5</v>
      </c>
      <c r="O6" s="116">
        <f>K6*L6/N6</f>
        <v>146341.46341463414</v>
      </c>
      <c r="P6" s="95">
        <f>VLOOKUP($C6,'1.2 HR-Data luong'!$B:$BG,'1.2 HR-Data luong'!AF$5,0)</f>
        <v>200000</v>
      </c>
      <c r="Q6" s="114">
        <f>VLOOKUP($C6,'1.2 HR-Data luong'!$B:$BG,'1.2 HR-Data luong'!AG$5,0)</f>
        <v>15</v>
      </c>
      <c r="R6" s="114">
        <f>M6</f>
        <v>22.5</v>
      </c>
      <c r="S6" s="114">
        <f>N6</f>
        <v>20.5</v>
      </c>
      <c r="T6" s="116">
        <f>P6*Q6/S6</f>
        <v>146341.46341463414</v>
      </c>
    </row>
    <row r="7" spans="1:20" x14ac:dyDescent="0.25">
      <c r="A7" s="89" t="s">
        <v>302</v>
      </c>
      <c r="B7" s="89">
        <v>2</v>
      </c>
      <c r="C7" s="89" t="str">
        <f>VLOOKUP(B7,'1.2 HR-Data luong'!A:B,2,0)</f>
        <v>ADS02</v>
      </c>
      <c r="D7" s="89" t="str">
        <f>VLOOKUP($C7,'1.2 HR-Data luong'!$B:$BG,D$5,0)</f>
        <v>BD01 HN</v>
      </c>
      <c r="E7" s="89" t="str">
        <f>VLOOKUP($C7,'1.2 HR-Data luong'!$B:$BG,E$5,0)</f>
        <v>NguyenVanB</v>
      </c>
      <c r="F7" s="89" t="str">
        <f>VLOOKUP($C7,'1.2 HR-Data luong'!$B:$BG,F$5,0)</f>
        <v>Nguyễn Văn B</v>
      </c>
      <c r="G7" s="89" t="str">
        <f>VLOOKUP($C7,'1.2 HR-Data luong'!$B:$BG,G$5,0)</f>
        <v>HN</v>
      </c>
      <c r="H7" s="89" t="str">
        <f>VLOOKUP($C7,'1.2 HR-Data luong'!$B:$BG,H$5,0)</f>
        <v>Nhân viên</v>
      </c>
      <c r="I7" s="89" t="str">
        <f>VLOOKUP($C7,'1.2 HR-Data luong'!$B:$BG,I$5,0)</f>
        <v>C1</v>
      </c>
      <c r="J7" s="89" t="str">
        <f>VLOOKUP($C7,'1.2 HR-Data luong'!$B:$BG,J$5,0)</f>
        <v>CT</v>
      </c>
      <c r="K7" s="95">
        <f>VLOOKUP($C7,'1.2 HR-Data luong'!$B:$BG,'1.2 HR-Data luong'!AD$5,0)</f>
        <v>200000</v>
      </c>
      <c r="L7" s="114">
        <f>VLOOKUP($C7,'1.2 HR-Data luong'!$B:$BG,'1.2 HR-Data luong'!AE$5,0)</f>
        <v>15</v>
      </c>
      <c r="M7" s="114">
        <v>22.5</v>
      </c>
      <c r="N7" s="114">
        <f>VLOOKUP(C7,'1.2 HR-Data luong'!B:R,'1.2 HR-Data luong'!R$5,0)</f>
        <v>20.5</v>
      </c>
      <c r="O7" s="116">
        <f t="shared" ref="O7:O15" si="0">K7*L7/N7</f>
        <v>146341.46341463414</v>
      </c>
      <c r="P7" s="95">
        <f>VLOOKUP($C7,'1.2 HR-Data luong'!$B:$BG,'1.2 HR-Data luong'!AF$5,0)</f>
        <v>200000</v>
      </c>
      <c r="Q7" s="114">
        <f>VLOOKUP($C7,'1.2 HR-Data luong'!$B:$BG,'1.2 HR-Data luong'!AG$5,0)</f>
        <v>15</v>
      </c>
      <c r="R7" s="114">
        <f t="shared" ref="R7:R15" si="1">M7</f>
        <v>22.5</v>
      </c>
      <c r="S7" s="114">
        <f t="shared" ref="S7:S15" si="2">N7</f>
        <v>20.5</v>
      </c>
      <c r="T7" s="116">
        <f t="shared" ref="T7:T15" si="3">P7*Q7/S7</f>
        <v>146341.46341463414</v>
      </c>
    </row>
    <row r="8" spans="1:20" x14ac:dyDescent="0.25">
      <c r="A8" s="89" t="s">
        <v>302</v>
      </c>
      <c r="B8" s="89">
        <v>3</v>
      </c>
      <c r="C8" s="89" t="str">
        <f>VLOOKUP(B8,'1.2 HR-Data luong'!A:B,2,0)</f>
        <v>ADS03</v>
      </c>
      <c r="D8" s="89" t="str">
        <f>VLOOKUP($C8,'1.2 HR-Data luong'!$B:$BG,D$5,0)</f>
        <v>BD02 HN</v>
      </c>
      <c r="E8" s="89" t="str">
        <f>VLOOKUP($C8,'1.2 HR-Data luong'!$B:$BG,E$5,0)</f>
        <v>NguyenVanC</v>
      </c>
      <c r="F8" s="89" t="str">
        <f>VLOOKUP($C8,'1.2 HR-Data luong'!$B:$BG,F$5,0)</f>
        <v>Nguyễn Văn C</v>
      </c>
      <c r="G8" s="89" t="str">
        <f>VLOOKUP($C8,'1.2 HR-Data luong'!$B:$BG,G$5,0)</f>
        <v>HN</v>
      </c>
      <c r="H8" s="89" t="str">
        <f>VLOOKUP($C8,'1.2 HR-Data luong'!$B:$BG,H$5,0)</f>
        <v>Trưởng phòng</v>
      </c>
      <c r="I8" s="89" t="str">
        <f>VLOOKUP($C8,'1.2 HR-Data luong'!$B:$BG,I$5,0)</f>
        <v>TP C2</v>
      </c>
      <c r="J8" s="89" t="str">
        <f>VLOOKUP($C8,'1.2 HR-Data luong'!$B:$BG,J$5,0)</f>
        <v>CT</v>
      </c>
      <c r="K8" s="95">
        <f>VLOOKUP($C8,'1.2 HR-Data luong'!$B:$BG,'1.2 HR-Data luong'!AD$5,0)</f>
        <v>200000</v>
      </c>
      <c r="L8" s="114">
        <f>VLOOKUP($C8,'1.2 HR-Data luong'!$B:$BG,'1.2 HR-Data luong'!AE$5,0)</f>
        <v>15</v>
      </c>
      <c r="M8" s="114">
        <v>22.5</v>
      </c>
      <c r="N8" s="114">
        <f>VLOOKUP(C8,'1.2 HR-Data luong'!B:R,'1.2 HR-Data luong'!R$5,0)</f>
        <v>20.5</v>
      </c>
      <c r="O8" s="116">
        <f t="shared" si="0"/>
        <v>146341.46341463414</v>
      </c>
      <c r="P8" s="95">
        <f>VLOOKUP($C8,'1.2 HR-Data luong'!$B:$BG,'1.2 HR-Data luong'!AF$5,0)</f>
        <v>200000</v>
      </c>
      <c r="Q8" s="114">
        <f>VLOOKUP($C8,'1.2 HR-Data luong'!$B:$BG,'1.2 HR-Data luong'!AG$5,0)</f>
        <v>15</v>
      </c>
      <c r="R8" s="114">
        <f t="shared" si="1"/>
        <v>22.5</v>
      </c>
      <c r="S8" s="114">
        <f t="shared" si="2"/>
        <v>20.5</v>
      </c>
      <c r="T8" s="116">
        <f t="shared" si="3"/>
        <v>146341.46341463414</v>
      </c>
    </row>
    <row r="9" spans="1:20" x14ac:dyDescent="0.25">
      <c r="A9" s="89" t="s">
        <v>302</v>
      </c>
      <c r="B9" s="89">
        <v>4</v>
      </c>
      <c r="C9" s="89" t="str">
        <f>VLOOKUP(B9,'1.2 HR-Data luong'!A:B,2,0)</f>
        <v>ADS04</v>
      </c>
      <c r="D9" s="89" t="str">
        <f>VLOOKUP($C9,'1.2 HR-Data luong'!$B:$BG,D$5,0)</f>
        <v>BD02 HN</v>
      </c>
      <c r="E9" s="89" t="str">
        <f>VLOOKUP($C9,'1.2 HR-Data luong'!$B:$BG,E$5,0)</f>
        <v>NguyenVanD</v>
      </c>
      <c r="F9" s="89" t="str">
        <f>VLOOKUP($C9,'1.2 HR-Data luong'!$B:$BG,F$5,0)</f>
        <v>Nguyễn Văn D</v>
      </c>
      <c r="G9" s="89" t="str">
        <f>VLOOKUP($C9,'1.2 HR-Data luong'!$B:$BG,G$5,0)</f>
        <v>HN</v>
      </c>
      <c r="H9" s="89" t="str">
        <f>VLOOKUP($C9,'1.2 HR-Data luong'!$B:$BG,H$5,0)</f>
        <v>Nhân viên</v>
      </c>
      <c r="I9" s="89" t="str">
        <f>VLOOKUP($C9,'1.2 HR-Data luong'!$B:$BG,I$5,0)</f>
        <v>C2</v>
      </c>
      <c r="J9" s="89" t="str">
        <f>VLOOKUP($C9,'1.2 HR-Data luong'!$B:$BG,J$5,0)</f>
        <v>CT</v>
      </c>
      <c r="K9" s="95">
        <f>VLOOKUP($C9,'1.2 HR-Data luong'!$B:$BG,'1.2 HR-Data luong'!AD$5,0)</f>
        <v>200000</v>
      </c>
      <c r="L9" s="114">
        <f>VLOOKUP($C9,'1.2 HR-Data luong'!$B:$BG,'1.2 HR-Data luong'!AE$5,0)</f>
        <v>15</v>
      </c>
      <c r="M9" s="114">
        <v>22.5</v>
      </c>
      <c r="N9" s="114">
        <f>VLOOKUP(C9,'1.2 HR-Data luong'!B:R,'1.2 HR-Data luong'!R$5,0)</f>
        <v>20.5</v>
      </c>
      <c r="O9" s="116">
        <f t="shared" si="0"/>
        <v>146341.46341463414</v>
      </c>
      <c r="P9" s="95">
        <f>VLOOKUP($C9,'1.2 HR-Data luong'!$B:$BG,'1.2 HR-Data luong'!AF$5,0)</f>
        <v>200000</v>
      </c>
      <c r="Q9" s="114">
        <f>VLOOKUP($C9,'1.2 HR-Data luong'!$B:$BG,'1.2 HR-Data luong'!AG$5,0)</f>
        <v>15</v>
      </c>
      <c r="R9" s="114">
        <f t="shared" si="1"/>
        <v>22.5</v>
      </c>
      <c r="S9" s="114">
        <f t="shared" si="2"/>
        <v>20.5</v>
      </c>
      <c r="T9" s="116">
        <f t="shared" si="3"/>
        <v>146341.46341463414</v>
      </c>
    </row>
    <row r="10" spans="1:20" x14ac:dyDescent="0.25">
      <c r="A10" s="89" t="s">
        <v>302</v>
      </c>
      <c r="B10" s="89">
        <v>5</v>
      </c>
      <c r="C10" s="89" t="str">
        <f>VLOOKUP(B10,'1.2 HR-Data luong'!A:B,2,0)</f>
        <v>ADS05</v>
      </c>
      <c r="D10" s="89" t="str">
        <f>VLOOKUP($C10,'1.2 HR-Data luong'!$B:$BG,D$5,0)</f>
        <v>BD02 HN</v>
      </c>
      <c r="E10" s="89" t="str">
        <f>VLOOKUP($C10,'1.2 HR-Data luong'!$B:$BG,E$5,0)</f>
        <v>NguyenVanE</v>
      </c>
      <c r="F10" s="89" t="str">
        <f>VLOOKUP($C10,'1.2 HR-Data luong'!$B:$BG,F$5,0)</f>
        <v>Nguyễn Văn E</v>
      </c>
      <c r="G10" s="89" t="str">
        <f>VLOOKUP($C10,'1.2 HR-Data luong'!$B:$BG,G$5,0)</f>
        <v>HN</v>
      </c>
      <c r="H10" s="89" t="str">
        <f>VLOOKUP($C10,'1.2 HR-Data luong'!$B:$BG,H$5,0)</f>
        <v>Nhân viên</v>
      </c>
      <c r="I10" s="89" t="str">
        <f>VLOOKUP($C10,'1.2 HR-Data luong'!$B:$BG,I$5,0)</f>
        <v>C3</v>
      </c>
      <c r="J10" s="89" t="str">
        <f>VLOOKUP($C10,'1.2 HR-Data luong'!$B:$BG,J$5,0)</f>
        <v>CT</v>
      </c>
      <c r="K10" s="95">
        <f>VLOOKUP($C10,'1.2 HR-Data luong'!$B:$BG,'1.2 HR-Data luong'!AD$5,0)</f>
        <v>200000</v>
      </c>
      <c r="L10" s="114">
        <f>VLOOKUP($C10,'1.2 HR-Data luong'!$B:$BG,'1.2 HR-Data luong'!AE$5,0)</f>
        <v>22.5</v>
      </c>
      <c r="M10" s="114">
        <v>22.5</v>
      </c>
      <c r="N10" s="114">
        <f>VLOOKUP(C10,'1.2 HR-Data luong'!B:R,'1.2 HR-Data luong'!R$5,0)</f>
        <v>20.5</v>
      </c>
      <c r="O10" s="116">
        <f t="shared" si="0"/>
        <v>219512.19512195123</v>
      </c>
      <c r="P10" s="95">
        <f>VLOOKUP($C10,'1.2 HR-Data luong'!$B:$BG,'1.2 HR-Data luong'!AF$5,0)</f>
        <v>200000</v>
      </c>
      <c r="Q10" s="114">
        <f>VLOOKUP($C10,'1.2 HR-Data luong'!$B:$BG,'1.2 HR-Data luong'!AG$5,0)</f>
        <v>22.5</v>
      </c>
      <c r="R10" s="114">
        <f t="shared" si="1"/>
        <v>22.5</v>
      </c>
      <c r="S10" s="114">
        <f t="shared" si="2"/>
        <v>20.5</v>
      </c>
      <c r="T10" s="116">
        <f t="shared" si="3"/>
        <v>219512.19512195123</v>
      </c>
    </row>
    <row r="11" spans="1:20" x14ac:dyDescent="0.25">
      <c r="A11" s="89" t="s">
        <v>302</v>
      </c>
      <c r="B11" s="89">
        <v>6</v>
      </c>
      <c r="C11" s="89" t="str">
        <f>VLOOKUP(B11,'1.2 HR-Data luong'!A:B,2,0)</f>
        <v>ADS06</v>
      </c>
      <c r="D11" s="89" t="str">
        <f>VLOOKUP($C11,'1.2 HR-Data luong'!$B:$BG,D$5,0)</f>
        <v>BD03 SG</v>
      </c>
      <c r="E11" s="89" t="str">
        <f>VLOOKUP($C11,'1.2 HR-Data luong'!$B:$BG,E$5,0)</f>
        <v>NguyenVanF</v>
      </c>
      <c r="F11" s="89" t="str">
        <f>VLOOKUP($C11,'1.2 HR-Data luong'!$B:$BG,F$5,0)</f>
        <v>Nguyễn Văn F</v>
      </c>
      <c r="G11" s="89" t="str">
        <f>VLOOKUP($C11,'1.2 HR-Data luong'!$B:$BG,G$5,0)</f>
        <v>HCM</v>
      </c>
      <c r="H11" s="89" t="str">
        <f>VLOOKUP($C11,'1.2 HR-Data luong'!$B:$BG,H$5,0)</f>
        <v>Trưởng phòng</v>
      </c>
      <c r="I11" s="89" t="str">
        <f>VLOOKUP($C11,'1.2 HR-Data luong'!$B:$BG,I$5,0)</f>
        <v>TP C3</v>
      </c>
      <c r="J11" s="89" t="str">
        <f>VLOOKUP($C11,'1.2 HR-Data luong'!$B:$BG,J$5,0)</f>
        <v>CT</v>
      </c>
      <c r="K11" s="95">
        <f>VLOOKUP($C11,'1.2 HR-Data luong'!$B:$BG,'1.2 HR-Data luong'!AD$5,0)</f>
        <v>200000</v>
      </c>
      <c r="L11" s="114">
        <f>VLOOKUP($C11,'1.2 HR-Data luong'!$B:$BG,'1.2 HR-Data luong'!AE$5,0)</f>
        <v>22.5</v>
      </c>
      <c r="M11" s="114">
        <v>22.5</v>
      </c>
      <c r="N11" s="114">
        <f>VLOOKUP(C11,'1.2 HR-Data luong'!B:R,'1.2 HR-Data luong'!R$5,0)</f>
        <v>22.5</v>
      </c>
      <c r="O11" s="116">
        <f t="shared" si="0"/>
        <v>200000</v>
      </c>
      <c r="P11" s="95">
        <f>VLOOKUP($C11,'1.2 HR-Data luong'!$B:$BG,'1.2 HR-Data luong'!AF$5,0)</f>
        <v>200000</v>
      </c>
      <c r="Q11" s="114">
        <f>VLOOKUP($C11,'1.2 HR-Data luong'!$B:$BG,'1.2 HR-Data luong'!AG$5,0)</f>
        <v>22.5</v>
      </c>
      <c r="R11" s="114">
        <f t="shared" si="1"/>
        <v>22.5</v>
      </c>
      <c r="S11" s="114">
        <f t="shared" si="2"/>
        <v>22.5</v>
      </c>
      <c r="T11" s="116">
        <f t="shared" si="3"/>
        <v>200000</v>
      </c>
    </row>
    <row r="12" spans="1:20" x14ac:dyDescent="0.25">
      <c r="A12" s="89" t="s">
        <v>302</v>
      </c>
      <c r="B12" s="89">
        <v>7</v>
      </c>
      <c r="C12" s="89" t="str">
        <f>VLOOKUP(B12,'1.2 HR-Data luong'!A:B,2,0)</f>
        <v>ADS07</v>
      </c>
      <c r="D12" s="89" t="str">
        <f>VLOOKUP($C12,'1.2 HR-Data luong'!$B:$BG,D$5,0)</f>
        <v>BD03 SG</v>
      </c>
      <c r="E12" s="89" t="str">
        <f>VLOOKUP($C12,'1.2 HR-Data luong'!$B:$BG,E$5,0)</f>
        <v>NguyenVanG</v>
      </c>
      <c r="F12" s="89" t="str">
        <f>VLOOKUP($C12,'1.2 HR-Data luong'!$B:$BG,F$5,0)</f>
        <v>Nguyễn Văn G</v>
      </c>
      <c r="G12" s="89" t="str">
        <f>VLOOKUP($C12,'1.2 HR-Data luong'!$B:$BG,G$5,0)</f>
        <v>HCM</v>
      </c>
      <c r="H12" s="89" t="str">
        <f>VLOOKUP($C12,'1.2 HR-Data luong'!$B:$BG,H$5,0)</f>
        <v>Nhân viên</v>
      </c>
      <c r="I12" s="89" t="str">
        <f>VLOOKUP($C12,'1.2 HR-Data luong'!$B:$BG,I$5,0)</f>
        <v>C4</v>
      </c>
      <c r="J12" s="89" t="str">
        <f>VLOOKUP($C12,'1.2 HR-Data luong'!$B:$BG,J$5,0)</f>
        <v>CT</v>
      </c>
      <c r="K12" s="95">
        <f>VLOOKUP($C12,'1.2 HR-Data luong'!$B:$BG,'1.2 HR-Data luong'!AD$5,0)</f>
        <v>200000</v>
      </c>
      <c r="L12" s="114">
        <f>VLOOKUP($C12,'1.2 HR-Data luong'!$B:$BG,'1.2 HR-Data luong'!AE$5,0)</f>
        <v>22.5</v>
      </c>
      <c r="M12" s="114">
        <v>22.5</v>
      </c>
      <c r="N12" s="114">
        <f>VLOOKUP(C12,'1.2 HR-Data luong'!B:R,'1.2 HR-Data luong'!R$5,0)</f>
        <v>22.5</v>
      </c>
      <c r="O12" s="116">
        <f t="shared" si="0"/>
        <v>200000</v>
      </c>
      <c r="P12" s="95">
        <f>VLOOKUP($C12,'1.2 HR-Data luong'!$B:$BG,'1.2 HR-Data luong'!AF$5,0)</f>
        <v>200000</v>
      </c>
      <c r="Q12" s="114">
        <f>VLOOKUP($C12,'1.2 HR-Data luong'!$B:$BG,'1.2 HR-Data luong'!AG$5,0)</f>
        <v>22.5</v>
      </c>
      <c r="R12" s="114">
        <f t="shared" si="1"/>
        <v>22.5</v>
      </c>
      <c r="S12" s="114">
        <f t="shared" si="2"/>
        <v>22.5</v>
      </c>
      <c r="T12" s="116">
        <f t="shared" si="3"/>
        <v>200000</v>
      </c>
    </row>
    <row r="13" spans="1:20" x14ac:dyDescent="0.25">
      <c r="A13" s="89" t="s">
        <v>302</v>
      </c>
      <c r="B13" s="89">
        <v>8</v>
      </c>
      <c r="C13" s="89" t="str">
        <f>VLOOKUP(B13,'1.2 HR-Data luong'!A:B,2,0)</f>
        <v>ADS08</v>
      </c>
      <c r="D13" s="89" t="str">
        <f>VLOOKUP($C13,'1.2 HR-Data luong'!$B:$BG,D$5,0)</f>
        <v>BD03 SG</v>
      </c>
      <c r="E13" s="89" t="str">
        <f>VLOOKUP($C13,'1.2 HR-Data luong'!$B:$BG,E$5,0)</f>
        <v>NguyenVanH</v>
      </c>
      <c r="F13" s="89" t="str">
        <f>VLOOKUP($C13,'1.2 HR-Data luong'!$B:$BG,F$5,0)</f>
        <v>Nguyễn Văn H</v>
      </c>
      <c r="G13" s="89" t="str">
        <f>VLOOKUP($C13,'1.2 HR-Data luong'!$B:$BG,G$5,0)</f>
        <v>HCM</v>
      </c>
      <c r="H13" s="89" t="str">
        <f>VLOOKUP($C13,'1.2 HR-Data luong'!$B:$BG,H$5,0)</f>
        <v>Nhân viên</v>
      </c>
      <c r="I13" s="89" t="str">
        <f>VLOOKUP($C13,'1.2 HR-Data luong'!$B:$BG,I$5,0)</f>
        <v>S1</v>
      </c>
      <c r="J13" s="89" t="str">
        <f>VLOOKUP($C13,'1.2 HR-Data luong'!$B:$BG,J$5,0)</f>
        <v>CT</v>
      </c>
      <c r="K13" s="95">
        <f>VLOOKUP($C13,'1.2 HR-Data luong'!$B:$BG,'1.2 HR-Data luong'!AD$5,0)</f>
        <v>200000</v>
      </c>
      <c r="L13" s="114">
        <f>VLOOKUP($C13,'1.2 HR-Data luong'!$B:$BG,'1.2 HR-Data luong'!AE$5,0)</f>
        <v>22.5</v>
      </c>
      <c r="M13" s="114">
        <v>22.5</v>
      </c>
      <c r="N13" s="114">
        <f>VLOOKUP(C13,'1.2 HR-Data luong'!B:R,'1.2 HR-Data luong'!R$5,0)</f>
        <v>22.5</v>
      </c>
      <c r="O13" s="116">
        <f t="shared" si="0"/>
        <v>200000</v>
      </c>
      <c r="P13" s="95">
        <f>VLOOKUP($C13,'1.2 HR-Data luong'!$B:$BG,'1.2 HR-Data luong'!AF$5,0)</f>
        <v>200000</v>
      </c>
      <c r="Q13" s="114">
        <f>VLOOKUP($C13,'1.2 HR-Data luong'!$B:$BG,'1.2 HR-Data luong'!AG$5,0)</f>
        <v>22.5</v>
      </c>
      <c r="R13" s="114">
        <f t="shared" si="1"/>
        <v>22.5</v>
      </c>
      <c r="S13" s="114">
        <f t="shared" si="2"/>
        <v>22.5</v>
      </c>
      <c r="T13" s="116">
        <f t="shared" si="3"/>
        <v>200000</v>
      </c>
    </row>
    <row r="14" spans="1:20" x14ac:dyDescent="0.25">
      <c r="A14" s="89" t="s">
        <v>302</v>
      </c>
      <c r="B14" s="89">
        <v>9</v>
      </c>
      <c r="C14" s="89" t="str">
        <f>VLOOKUP(B14,'1.2 HR-Data luong'!A:B,2,0)</f>
        <v>ADS09</v>
      </c>
      <c r="D14" s="89" t="str">
        <f>VLOOKUP($C14,'1.2 HR-Data luong'!$B:$BG,D$5,0)</f>
        <v>HR HN</v>
      </c>
      <c r="E14" s="89" t="str">
        <f>VLOOKUP($C14,'1.2 HR-Data luong'!$B:$BG,E$5,0)</f>
        <v>NguyenVanI</v>
      </c>
      <c r="F14" s="89" t="str">
        <f>VLOOKUP($C14,'1.2 HR-Data luong'!$B:$BG,F$5,0)</f>
        <v>Nguyễn Văn I</v>
      </c>
      <c r="G14" s="89" t="str">
        <f>VLOOKUP($C14,'1.2 HR-Data luong'!$B:$BG,G$5,0)</f>
        <v>HN</v>
      </c>
      <c r="H14" s="89" t="str">
        <f>VLOOKUP($C14,'1.2 HR-Data luong'!$B:$BG,H$5,0)</f>
        <v>Trưởng phòng</v>
      </c>
      <c r="I14" s="89" t="str">
        <f>VLOOKUP($C14,'1.2 HR-Data luong'!$B:$BG,I$5,0)</f>
        <v>TP KPC</v>
      </c>
      <c r="J14" s="89" t="str">
        <f>VLOOKUP($C14,'1.2 HR-Data luong'!$B:$BG,J$5,0)</f>
        <v>CT</v>
      </c>
      <c r="K14" s="95">
        <f>VLOOKUP($C14,'1.2 HR-Data luong'!$B:$BG,'1.2 HR-Data luong'!AD$5,0)</f>
        <v>200000</v>
      </c>
      <c r="L14" s="114">
        <f>VLOOKUP($C14,'1.2 HR-Data luong'!$B:$BG,'1.2 HR-Data luong'!AE$5,0)</f>
        <v>22.5</v>
      </c>
      <c r="M14" s="114">
        <v>22.5</v>
      </c>
      <c r="N14" s="114">
        <f>VLOOKUP(C14,'1.2 HR-Data luong'!B:R,'1.2 HR-Data luong'!R$5,0)</f>
        <v>22.5</v>
      </c>
      <c r="O14" s="116">
        <f t="shared" si="0"/>
        <v>200000</v>
      </c>
      <c r="P14" s="95">
        <f>VLOOKUP($C14,'1.2 HR-Data luong'!$B:$BG,'1.2 HR-Data luong'!AF$5,0)</f>
        <v>200000</v>
      </c>
      <c r="Q14" s="114">
        <f>VLOOKUP($C14,'1.2 HR-Data luong'!$B:$BG,'1.2 HR-Data luong'!AG$5,0)</f>
        <v>22.5</v>
      </c>
      <c r="R14" s="114">
        <f t="shared" si="1"/>
        <v>22.5</v>
      </c>
      <c r="S14" s="114">
        <f t="shared" si="2"/>
        <v>22.5</v>
      </c>
      <c r="T14" s="116">
        <f t="shared" si="3"/>
        <v>200000</v>
      </c>
    </row>
    <row r="15" spans="1:20" x14ac:dyDescent="0.25">
      <c r="A15" s="89" t="s">
        <v>302</v>
      </c>
      <c r="B15" s="89">
        <v>10</v>
      </c>
      <c r="C15" s="89" t="str">
        <f>VLOOKUP(B15,'1.2 HR-Data luong'!A:B,2,0)</f>
        <v>ADS10</v>
      </c>
      <c r="D15" s="89" t="str">
        <f>VLOOKUP($C15,'1.2 HR-Data luong'!$B:$BG,D$5,0)</f>
        <v>HR HN</v>
      </c>
      <c r="E15" s="89" t="str">
        <f>VLOOKUP($C15,'1.2 HR-Data luong'!$B:$BG,E$5,0)</f>
        <v>NguyenVanK</v>
      </c>
      <c r="F15" s="89" t="str">
        <f>VLOOKUP($C15,'1.2 HR-Data luong'!$B:$BG,F$5,0)</f>
        <v>Nguyễn Văn K</v>
      </c>
      <c r="G15" s="89" t="str">
        <f>VLOOKUP($C15,'1.2 HR-Data luong'!$B:$BG,G$5,0)</f>
        <v>HN</v>
      </c>
      <c r="H15" s="89" t="str">
        <f>VLOOKUP($C15,'1.2 HR-Data luong'!$B:$BG,H$5,0)</f>
        <v>Nhân viên</v>
      </c>
      <c r="I15" s="89" t="str">
        <f>VLOOKUP($C15,'1.2 HR-Data luong'!$B:$BG,I$5,0)</f>
        <v>C1</v>
      </c>
      <c r="J15" s="89" t="str">
        <f>VLOOKUP($C15,'1.2 HR-Data luong'!$B:$BG,J$5,0)</f>
        <v>CT</v>
      </c>
      <c r="K15" s="95">
        <f>VLOOKUP($C15,'1.2 HR-Data luong'!$B:$BG,'1.2 HR-Data luong'!AD$5,0)</f>
        <v>200000</v>
      </c>
      <c r="L15" s="114">
        <f>VLOOKUP($C15,'1.2 HR-Data luong'!$B:$BG,'1.2 HR-Data luong'!AE$5,0)</f>
        <v>22.5</v>
      </c>
      <c r="M15" s="114">
        <v>22.5</v>
      </c>
      <c r="N15" s="114">
        <f>VLOOKUP(C15,'1.2 HR-Data luong'!B:R,'1.2 HR-Data luong'!R$5,0)</f>
        <v>22.5</v>
      </c>
      <c r="O15" s="116">
        <f t="shared" si="0"/>
        <v>200000</v>
      </c>
      <c r="P15" s="95">
        <f>VLOOKUP($C15,'1.2 HR-Data luong'!$B:$BG,'1.2 HR-Data luong'!AF$5,0)</f>
        <v>200000</v>
      </c>
      <c r="Q15" s="114">
        <f>VLOOKUP($C15,'1.2 HR-Data luong'!$B:$BG,'1.2 HR-Data luong'!AG$5,0)</f>
        <v>22.5</v>
      </c>
      <c r="R15" s="114">
        <f t="shared" si="1"/>
        <v>22.5</v>
      </c>
      <c r="S15" s="114">
        <f t="shared" si="2"/>
        <v>22.5</v>
      </c>
      <c r="T15" s="116">
        <f t="shared" si="3"/>
        <v>200000</v>
      </c>
    </row>
  </sheetData>
  <mergeCells count="18">
    <mergeCell ref="A3:A4"/>
    <mergeCell ref="G3:G4"/>
    <mergeCell ref="P3:Q3"/>
    <mergeCell ref="R3:R4"/>
    <mergeCell ref="S3:S4"/>
    <mergeCell ref="B3:B4"/>
    <mergeCell ref="C3:C4"/>
    <mergeCell ref="D3:D4"/>
    <mergeCell ref="E3:E4"/>
    <mergeCell ref="F3:F4"/>
    <mergeCell ref="T3:T4"/>
    <mergeCell ref="H3:H4"/>
    <mergeCell ref="I3:I4"/>
    <mergeCell ref="J3:J4"/>
    <mergeCell ref="K3:L3"/>
    <mergeCell ref="O3:O4"/>
    <mergeCell ref="M3:M4"/>
    <mergeCell ref="N3:N4"/>
  </mergeCells>
  <conditionalFormatting sqref="C3:C5 E5 G5 I5 K5 M5 O5 Q5 S5">
    <cfRule type="duplicateValues" dxfId="5" priority="16"/>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16"/>
  <sheetViews>
    <sheetView topLeftCell="E1" zoomScale="85" zoomScaleNormal="85" workbookViewId="0">
      <selection activeCell="K7" sqref="K7"/>
    </sheetView>
  </sheetViews>
  <sheetFormatPr defaultRowHeight="15" x14ac:dyDescent="0.25"/>
  <cols>
    <col min="2" max="2" width="4.85546875" customWidth="1"/>
    <col min="3" max="4" width="7" customWidth="1"/>
    <col min="5" max="6" width="14.42578125" customWidth="1"/>
    <col min="8" max="8" width="15.140625" customWidth="1"/>
    <col min="11" max="12" width="14.28515625" style="99" bestFit="1" customWidth="1"/>
    <col min="13" max="13" width="12.42578125" customWidth="1"/>
    <col min="14" max="14" width="22" customWidth="1"/>
    <col min="15" max="15" width="14.28515625" bestFit="1" customWidth="1"/>
    <col min="16" max="16" width="13.28515625" bestFit="1" customWidth="1"/>
    <col min="17" max="22" width="11.5703125" bestFit="1" customWidth="1"/>
    <col min="23" max="23" width="11.5703125" customWidth="1"/>
    <col min="24" max="24" width="11.5703125" bestFit="1" customWidth="1"/>
    <col min="25" max="25" width="13.28515625" bestFit="1" customWidth="1"/>
    <col min="26" max="28" width="11.5703125" bestFit="1" customWidth="1"/>
  </cols>
  <sheetData>
    <row r="1" spans="1:28" x14ac:dyDescent="0.25">
      <c r="A1" s="97" t="s">
        <v>245</v>
      </c>
    </row>
    <row r="2" spans="1:28" ht="15" customHeight="1" x14ac:dyDescent="0.25">
      <c r="B2" s="97"/>
    </row>
    <row r="3" spans="1:28" x14ac:dyDescent="0.25">
      <c r="A3" s="336" t="s">
        <v>469</v>
      </c>
      <c r="B3" s="336" t="s">
        <v>0</v>
      </c>
      <c r="C3" s="336" t="s">
        <v>1</v>
      </c>
      <c r="D3" s="336" t="s">
        <v>2</v>
      </c>
      <c r="E3" s="336" t="s">
        <v>218</v>
      </c>
      <c r="F3" s="336" t="s">
        <v>3</v>
      </c>
      <c r="G3" s="336" t="s">
        <v>4</v>
      </c>
      <c r="H3" s="336" t="s">
        <v>5</v>
      </c>
      <c r="I3" s="336" t="s">
        <v>6</v>
      </c>
      <c r="J3" s="336" t="s">
        <v>7</v>
      </c>
      <c r="K3" s="322" t="s">
        <v>161</v>
      </c>
      <c r="L3" s="323"/>
      <c r="M3" s="323"/>
      <c r="N3" s="324"/>
      <c r="O3" s="349" t="s">
        <v>246</v>
      </c>
      <c r="P3" s="346" t="s">
        <v>247</v>
      </c>
      <c r="Q3" s="347"/>
      <c r="R3" s="347"/>
      <c r="S3" s="348"/>
      <c r="T3" s="346" t="s">
        <v>188</v>
      </c>
      <c r="U3" s="347"/>
      <c r="V3" s="347"/>
      <c r="W3" s="347"/>
      <c r="X3" s="348"/>
      <c r="Y3" s="346" t="s">
        <v>250</v>
      </c>
      <c r="Z3" s="347"/>
      <c r="AA3" s="347"/>
      <c r="AB3" s="348"/>
    </row>
    <row r="4" spans="1:28" ht="40.5" customHeight="1" x14ac:dyDescent="0.25">
      <c r="A4" s="336"/>
      <c r="B4" s="336"/>
      <c r="C4" s="336"/>
      <c r="D4" s="336"/>
      <c r="E4" s="336"/>
      <c r="F4" s="336"/>
      <c r="G4" s="336"/>
      <c r="H4" s="336"/>
      <c r="I4" s="336"/>
      <c r="J4" s="336"/>
      <c r="K4" s="118" t="s">
        <v>174</v>
      </c>
      <c r="L4" s="118" t="s">
        <v>175</v>
      </c>
      <c r="M4" s="109" t="s">
        <v>176</v>
      </c>
      <c r="N4" s="109" t="s">
        <v>177</v>
      </c>
      <c r="O4" s="349"/>
      <c r="P4" s="117" t="s">
        <v>167</v>
      </c>
      <c r="Q4" s="117" t="s">
        <v>168</v>
      </c>
      <c r="R4" s="117" t="s">
        <v>169</v>
      </c>
      <c r="S4" s="117" t="s">
        <v>248</v>
      </c>
      <c r="T4" s="117" t="s">
        <v>167</v>
      </c>
      <c r="U4" s="117" t="s">
        <v>168</v>
      </c>
      <c r="V4" s="117" t="s">
        <v>169</v>
      </c>
      <c r="W4" s="120" t="s">
        <v>251</v>
      </c>
      <c r="X4" s="117" t="s">
        <v>248</v>
      </c>
      <c r="Y4" s="117" t="s">
        <v>167</v>
      </c>
      <c r="Z4" s="117" t="s">
        <v>168</v>
      </c>
      <c r="AA4" s="117" t="s">
        <v>169</v>
      </c>
      <c r="AB4" s="117" t="s">
        <v>248</v>
      </c>
    </row>
    <row r="5" spans="1:28" x14ac:dyDescent="0.25">
      <c r="A5" s="90"/>
      <c r="B5" s="121"/>
      <c r="C5" s="121"/>
      <c r="D5" s="121"/>
      <c r="E5" s="121"/>
      <c r="F5" s="121"/>
      <c r="G5" s="121"/>
      <c r="H5" s="121"/>
      <c r="I5" s="121"/>
      <c r="J5" s="121"/>
      <c r="K5" s="122"/>
      <c r="L5" s="122"/>
      <c r="M5" s="123"/>
      <c r="N5" s="123"/>
      <c r="O5" s="117"/>
      <c r="P5" s="124">
        <f>'2.1 KT-Update ty le'!B3</f>
        <v>0.17499999999999999</v>
      </c>
      <c r="Q5" s="124">
        <f>'2.1 KT-Update ty le'!B4</f>
        <v>0.03</v>
      </c>
      <c r="R5" s="124">
        <f>'2.1 KT-Update ty le'!B5</f>
        <v>0.01</v>
      </c>
      <c r="S5" s="124">
        <f>'2.1 KT-Update ty le'!B6</f>
        <v>0.02</v>
      </c>
      <c r="T5" s="124">
        <f>'2.1 KT-Update ty le'!C3</f>
        <v>0.08</v>
      </c>
      <c r="U5" s="124">
        <f>'2.1 KT-Update ty le'!C4</f>
        <v>1.4999999999999999E-2</v>
      </c>
      <c r="V5" s="124">
        <f>'2.1 KT-Update ty le'!C5</f>
        <v>0.01</v>
      </c>
      <c r="W5" s="124">
        <f>SUM(T5:V5)</f>
        <v>0.105</v>
      </c>
      <c r="X5" s="124">
        <f>'2.1 KT-Update ty le'!C6</f>
        <v>0.01</v>
      </c>
      <c r="Y5" s="124">
        <f>P5+T5</f>
        <v>0.255</v>
      </c>
      <c r="Z5" s="124">
        <f>Q5+U5</f>
        <v>4.4999999999999998E-2</v>
      </c>
      <c r="AA5" s="124">
        <f>R5+V5</f>
        <v>0.02</v>
      </c>
      <c r="AB5" s="124">
        <f t="shared" ref="AB5" si="0">S5+X5</f>
        <v>0.03</v>
      </c>
    </row>
    <row r="6" spans="1:28" x14ac:dyDescent="0.25">
      <c r="A6" s="90"/>
      <c r="B6" s="90"/>
      <c r="C6" s="90">
        <v>1</v>
      </c>
      <c r="D6" s="90">
        <v>2</v>
      </c>
      <c r="E6" s="90">
        <v>3</v>
      </c>
      <c r="F6" s="90">
        <v>4</v>
      </c>
      <c r="G6" s="90">
        <v>5</v>
      </c>
      <c r="H6" s="90">
        <v>6</v>
      </c>
      <c r="I6" s="90">
        <v>7</v>
      </c>
      <c r="J6" s="90">
        <v>8</v>
      </c>
      <c r="K6" s="103">
        <v>9</v>
      </c>
      <c r="L6" s="103">
        <v>10</v>
      </c>
      <c r="M6" s="90">
        <v>11</v>
      </c>
      <c r="N6" s="103">
        <v>12</v>
      </c>
      <c r="O6" s="90">
        <v>13</v>
      </c>
      <c r="P6" s="103">
        <v>14</v>
      </c>
      <c r="Q6" s="90">
        <v>15</v>
      </c>
      <c r="R6" s="103">
        <v>16</v>
      </c>
      <c r="S6" s="90">
        <v>17</v>
      </c>
      <c r="T6" s="103">
        <v>18</v>
      </c>
      <c r="U6" s="90">
        <v>19</v>
      </c>
      <c r="V6" s="103">
        <v>20</v>
      </c>
      <c r="W6" s="90">
        <v>21</v>
      </c>
      <c r="X6" s="103">
        <v>22</v>
      </c>
      <c r="Y6" s="90">
        <v>23</v>
      </c>
      <c r="Z6" s="103">
        <v>24</v>
      </c>
      <c r="AA6" s="90">
        <v>25</v>
      </c>
      <c r="AB6" s="103">
        <v>26</v>
      </c>
    </row>
    <row r="7" spans="1:28" x14ac:dyDescent="0.25">
      <c r="A7" s="89" t="s">
        <v>302</v>
      </c>
      <c r="B7" s="89">
        <v>1</v>
      </c>
      <c r="C7" s="89" t="str">
        <f>VLOOKUP(B7,'1.2 HR-Data luong'!A:B,2,0)</f>
        <v>ADS01</v>
      </c>
      <c r="D7" s="89" t="str">
        <f>VLOOKUP($C7,'1.2 HR-Data luong'!$B:$BG,D$6,0)</f>
        <v>BD01 HN</v>
      </c>
      <c r="E7" s="89" t="str">
        <f>VLOOKUP($C7,'1.2 HR-Data luong'!$B:$BG,E$6,0)</f>
        <v>NguyenVanA</v>
      </c>
      <c r="F7" s="89" t="str">
        <f>VLOOKUP($C7,'1.2 HR-Data luong'!$B:$BG,F$6,0)</f>
        <v>Nguyễn Văn A</v>
      </c>
      <c r="G7" s="89" t="str">
        <f>VLOOKUP($C7,'1.2 HR-Data luong'!$B:$BG,G$6,0)</f>
        <v>HN</v>
      </c>
      <c r="H7" s="89" t="str">
        <f>VLOOKUP($C7,'1.2 HR-Data luong'!$B:$BG,H$6,0)</f>
        <v>Trưởng phòng</v>
      </c>
      <c r="I7" s="89" t="str">
        <f>VLOOKUP($C7,'1.2 HR-Data luong'!$B:$BG,I$6,0)</f>
        <v>TP C1</v>
      </c>
      <c r="J7" s="89" t="str">
        <f>VLOOKUP($C7,'1.2 HR-Data luong'!$B:$BG,J$6,0)</f>
        <v>CT</v>
      </c>
      <c r="K7" s="95">
        <f>VLOOKUP($C7,'1.2 HR-Data luong'!$B:$V,'1.2 HR-Data luong'!S$5,0)</f>
        <v>1000000</v>
      </c>
      <c r="L7" s="95">
        <f>VLOOKUP($C7,'1.2 HR-Data luong'!$B:$V,'1.2 HR-Data luong'!T$5,0)</f>
        <v>0</v>
      </c>
      <c r="M7" s="92">
        <f>VLOOKUP($C7,'1.2 HR-Data luong'!$B:$V,'1.2 HR-Data luong'!U$5,0)</f>
        <v>0</v>
      </c>
      <c r="N7" s="119">
        <f>VLOOKUP($C7,'1.2 HR-Data luong'!$B:$V,'1.2 HR-Data luong'!V$5,0)</f>
        <v>0</v>
      </c>
      <c r="O7" s="99">
        <f>IF(M7&gt;0,L7,K7)</f>
        <v>1000000</v>
      </c>
      <c r="P7" s="99">
        <f>$O7*P$5</f>
        <v>175000</v>
      </c>
      <c r="Q7" s="99">
        <f t="shared" ref="Q7:AB16" si="1">$O7*Q$5</f>
        <v>30000</v>
      </c>
      <c r="R7" s="99">
        <f t="shared" si="1"/>
        <v>10000</v>
      </c>
      <c r="S7" s="99">
        <f t="shared" si="1"/>
        <v>20000</v>
      </c>
      <c r="T7" s="99">
        <f t="shared" si="1"/>
        <v>80000</v>
      </c>
      <c r="U7" s="99">
        <f t="shared" si="1"/>
        <v>15000</v>
      </c>
      <c r="V7" s="99">
        <f t="shared" si="1"/>
        <v>10000</v>
      </c>
      <c r="W7" s="99">
        <f t="shared" si="1"/>
        <v>105000</v>
      </c>
      <c r="X7" s="99">
        <f t="shared" si="1"/>
        <v>10000</v>
      </c>
      <c r="Y7" s="99">
        <f t="shared" si="1"/>
        <v>255000</v>
      </c>
      <c r="Z7" s="99">
        <f t="shared" si="1"/>
        <v>45000</v>
      </c>
      <c r="AA7" s="99">
        <f t="shared" si="1"/>
        <v>20000</v>
      </c>
      <c r="AB7" s="99">
        <f t="shared" si="1"/>
        <v>30000</v>
      </c>
    </row>
    <row r="8" spans="1:28" x14ac:dyDescent="0.25">
      <c r="A8" s="89" t="s">
        <v>302</v>
      </c>
      <c r="B8" s="89">
        <v>2</v>
      </c>
      <c r="C8" s="89" t="str">
        <f>VLOOKUP(B8,'1.2 HR-Data luong'!A:B,2,0)</f>
        <v>ADS02</v>
      </c>
      <c r="D8" s="89" t="str">
        <f>VLOOKUP($C8,'1.2 HR-Data luong'!$B:$BG,D$6,0)</f>
        <v>BD01 HN</v>
      </c>
      <c r="E8" s="89" t="str">
        <f>VLOOKUP($C8,'1.2 HR-Data luong'!$B:$BG,E$6,0)</f>
        <v>NguyenVanB</v>
      </c>
      <c r="F8" s="89" t="str">
        <f>VLOOKUP($C8,'1.2 HR-Data luong'!$B:$BG,F$6,0)</f>
        <v>Nguyễn Văn B</v>
      </c>
      <c r="G8" s="89" t="str">
        <f>VLOOKUP($C8,'1.2 HR-Data luong'!$B:$BG,G$6,0)</f>
        <v>HN</v>
      </c>
      <c r="H8" s="89" t="str">
        <f>VLOOKUP($C8,'1.2 HR-Data luong'!$B:$BG,H$6,0)</f>
        <v>Nhân viên</v>
      </c>
      <c r="I8" s="89" t="str">
        <f>VLOOKUP($C8,'1.2 HR-Data luong'!$B:$BG,I$6,0)</f>
        <v>C1</v>
      </c>
      <c r="J8" s="89" t="str">
        <f>VLOOKUP($C8,'1.2 HR-Data luong'!$B:$BG,J$6,0)</f>
        <v>CT</v>
      </c>
      <c r="K8" s="95">
        <f>VLOOKUP($C8,'1.2 HR-Data luong'!$B:$V,'1.2 HR-Data luong'!S$5,0)</f>
        <v>2000000</v>
      </c>
      <c r="L8" s="95">
        <f>VLOOKUP($C8,'1.2 HR-Data luong'!$B:$V,'1.2 HR-Data luong'!T$5,0)</f>
        <v>0</v>
      </c>
      <c r="M8" s="92">
        <f>VLOOKUP($C8,'1.2 HR-Data luong'!$B:$V,'1.2 HR-Data luong'!U$5,0)</f>
        <v>0</v>
      </c>
      <c r="N8" s="119">
        <f>VLOOKUP($C8,'1.2 HR-Data luong'!$B:$V,'1.2 HR-Data luong'!V$5,0)</f>
        <v>0</v>
      </c>
      <c r="O8" s="99">
        <f t="shared" ref="O8:O16" si="2">IF(M8&gt;0,L8,K8)</f>
        <v>2000000</v>
      </c>
      <c r="P8" s="99">
        <f t="shared" ref="P8:P16" si="3">$O8*P$5</f>
        <v>350000</v>
      </c>
      <c r="Q8" s="99">
        <f t="shared" si="1"/>
        <v>60000</v>
      </c>
      <c r="R8" s="99">
        <f t="shared" si="1"/>
        <v>20000</v>
      </c>
      <c r="S8" s="99">
        <f t="shared" si="1"/>
        <v>40000</v>
      </c>
      <c r="T8" s="99">
        <f t="shared" si="1"/>
        <v>160000</v>
      </c>
      <c r="U8" s="99">
        <f t="shared" si="1"/>
        <v>30000</v>
      </c>
      <c r="V8" s="99">
        <f t="shared" si="1"/>
        <v>20000</v>
      </c>
      <c r="W8" s="99">
        <f t="shared" si="1"/>
        <v>210000</v>
      </c>
      <c r="X8" s="99">
        <f t="shared" si="1"/>
        <v>20000</v>
      </c>
      <c r="Y8" s="99">
        <f t="shared" si="1"/>
        <v>510000</v>
      </c>
      <c r="Z8" s="99">
        <f t="shared" si="1"/>
        <v>90000</v>
      </c>
      <c r="AA8" s="99">
        <f t="shared" si="1"/>
        <v>40000</v>
      </c>
      <c r="AB8" s="99">
        <f t="shared" si="1"/>
        <v>60000</v>
      </c>
    </row>
    <row r="9" spans="1:28" x14ac:dyDescent="0.25">
      <c r="A9" s="89" t="s">
        <v>302</v>
      </c>
      <c r="B9" s="89">
        <v>3</v>
      </c>
      <c r="C9" s="89" t="str">
        <f>VLOOKUP(B9,'1.2 HR-Data luong'!A:B,2,0)</f>
        <v>ADS03</v>
      </c>
      <c r="D9" s="89" t="str">
        <f>VLOOKUP($C9,'1.2 HR-Data luong'!$B:$BG,D$6,0)</f>
        <v>BD02 HN</v>
      </c>
      <c r="E9" s="89" t="str">
        <f>VLOOKUP($C9,'1.2 HR-Data luong'!$B:$BG,E$6,0)</f>
        <v>NguyenVanC</v>
      </c>
      <c r="F9" s="89" t="str">
        <f>VLOOKUP($C9,'1.2 HR-Data luong'!$B:$BG,F$6,0)</f>
        <v>Nguyễn Văn C</v>
      </c>
      <c r="G9" s="89" t="str">
        <f>VLOOKUP($C9,'1.2 HR-Data luong'!$B:$BG,G$6,0)</f>
        <v>HN</v>
      </c>
      <c r="H9" s="89" t="str">
        <f>VLOOKUP($C9,'1.2 HR-Data luong'!$B:$BG,H$6,0)</f>
        <v>Trưởng phòng</v>
      </c>
      <c r="I9" s="89" t="str">
        <f>VLOOKUP($C9,'1.2 HR-Data luong'!$B:$BG,I$6,0)</f>
        <v>TP C2</v>
      </c>
      <c r="J9" s="89" t="str">
        <f>VLOOKUP($C9,'1.2 HR-Data luong'!$B:$BG,J$6,0)</f>
        <v>CT</v>
      </c>
      <c r="K9" s="95">
        <f>VLOOKUP($C9,'1.2 HR-Data luong'!$B:$V,'1.2 HR-Data luong'!S$5,0)</f>
        <v>3000000</v>
      </c>
      <c r="L9" s="95">
        <f>VLOOKUP($C9,'1.2 HR-Data luong'!$B:$V,'1.2 HR-Data luong'!T$5,0)</f>
        <v>0</v>
      </c>
      <c r="M9" s="92">
        <f>VLOOKUP($C9,'1.2 HR-Data luong'!$B:$V,'1.2 HR-Data luong'!U$5,0)</f>
        <v>0</v>
      </c>
      <c r="N9" s="119">
        <f>VLOOKUP($C9,'1.2 HR-Data luong'!$B:$V,'1.2 HR-Data luong'!V$5,0)</f>
        <v>0</v>
      </c>
      <c r="O9" s="99">
        <f t="shared" si="2"/>
        <v>3000000</v>
      </c>
      <c r="P9" s="99">
        <f t="shared" si="3"/>
        <v>525000</v>
      </c>
      <c r="Q9" s="99">
        <f t="shared" si="1"/>
        <v>90000</v>
      </c>
      <c r="R9" s="99">
        <f t="shared" si="1"/>
        <v>30000</v>
      </c>
      <c r="S9" s="99">
        <f t="shared" si="1"/>
        <v>60000</v>
      </c>
      <c r="T9" s="99">
        <f t="shared" si="1"/>
        <v>240000</v>
      </c>
      <c r="U9" s="99">
        <f t="shared" si="1"/>
        <v>45000</v>
      </c>
      <c r="V9" s="99">
        <f t="shared" si="1"/>
        <v>30000</v>
      </c>
      <c r="W9" s="99">
        <f t="shared" si="1"/>
        <v>315000</v>
      </c>
      <c r="X9" s="99">
        <f t="shared" si="1"/>
        <v>30000</v>
      </c>
      <c r="Y9" s="99">
        <f t="shared" si="1"/>
        <v>765000</v>
      </c>
      <c r="Z9" s="99">
        <f t="shared" si="1"/>
        <v>135000</v>
      </c>
      <c r="AA9" s="99">
        <f t="shared" si="1"/>
        <v>60000</v>
      </c>
      <c r="AB9" s="99">
        <f t="shared" si="1"/>
        <v>90000</v>
      </c>
    </row>
    <row r="10" spans="1:28" x14ac:dyDescent="0.25">
      <c r="A10" s="89" t="s">
        <v>302</v>
      </c>
      <c r="B10" s="89">
        <v>4</v>
      </c>
      <c r="C10" s="89" t="str">
        <f>VLOOKUP(B10,'1.2 HR-Data luong'!A:B,2,0)</f>
        <v>ADS04</v>
      </c>
      <c r="D10" s="89" t="str">
        <f>VLOOKUP($C10,'1.2 HR-Data luong'!$B:$BG,D$6,0)</f>
        <v>BD02 HN</v>
      </c>
      <c r="E10" s="89" t="str">
        <f>VLOOKUP($C10,'1.2 HR-Data luong'!$B:$BG,E$6,0)</f>
        <v>NguyenVanD</v>
      </c>
      <c r="F10" s="89" t="str">
        <f>VLOOKUP($C10,'1.2 HR-Data luong'!$B:$BG,F$6,0)</f>
        <v>Nguyễn Văn D</v>
      </c>
      <c r="G10" s="89" t="str">
        <f>VLOOKUP($C10,'1.2 HR-Data luong'!$B:$BG,G$6,0)</f>
        <v>HN</v>
      </c>
      <c r="H10" s="89" t="str">
        <f>VLOOKUP($C10,'1.2 HR-Data luong'!$B:$BG,H$6,0)</f>
        <v>Nhân viên</v>
      </c>
      <c r="I10" s="89" t="str">
        <f>VLOOKUP($C10,'1.2 HR-Data luong'!$B:$BG,I$6,0)</f>
        <v>C2</v>
      </c>
      <c r="J10" s="89" t="str">
        <f>VLOOKUP($C10,'1.2 HR-Data luong'!$B:$BG,J$6,0)</f>
        <v>CT</v>
      </c>
      <c r="K10" s="95">
        <f>VLOOKUP($C10,'1.2 HR-Data luong'!$B:$V,'1.2 HR-Data luong'!S$5,0)</f>
        <v>4000000</v>
      </c>
      <c r="L10" s="95">
        <f>VLOOKUP($C10,'1.2 HR-Data luong'!$B:$V,'1.2 HR-Data luong'!T$5,0)</f>
        <v>0</v>
      </c>
      <c r="M10" s="92">
        <f>VLOOKUP($C10,'1.2 HR-Data luong'!$B:$V,'1.2 HR-Data luong'!U$5,0)</f>
        <v>0</v>
      </c>
      <c r="N10" s="119">
        <f>VLOOKUP($C10,'1.2 HR-Data luong'!$B:$V,'1.2 HR-Data luong'!V$5,0)</f>
        <v>0</v>
      </c>
      <c r="O10" s="99">
        <f t="shared" si="2"/>
        <v>4000000</v>
      </c>
      <c r="P10" s="99">
        <f t="shared" si="3"/>
        <v>700000</v>
      </c>
      <c r="Q10" s="99">
        <f t="shared" si="1"/>
        <v>120000</v>
      </c>
      <c r="R10" s="99">
        <f t="shared" si="1"/>
        <v>40000</v>
      </c>
      <c r="S10" s="99">
        <f t="shared" si="1"/>
        <v>80000</v>
      </c>
      <c r="T10" s="99">
        <f t="shared" si="1"/>
        <v>320000</v>
      </c>
      <c r="U10" s="99">
        <f t="shared" si="1"/>
        <v>60000</v>
      </c>
      <c r="V10" s="99">
        <f t="shared" si="1"/>
        <v>40000</v>
      </c>
      <c r="W10" s="99">
        <f t="shared" si="1"/>
        <v>420000</v>
      </c>
      <c r="X10" s="99">
        <f t="shared" si="1"/>
        <v>40000</v>
      </c>
      <c r="Y10" s="99">
        <f t="shared" si="1"/>
        <v>1020000</v>
      </c>
      <c r="Z10" s="99">
        <f t="shared" si="1"/>
        <v>180000</v>
      </c>
      <c r="AA10" s="99">
        <f t="shared" si="1"/>
        <v>80000</v>
      </c>
      <c r="AB10" s="99">
        <f t="shared" si="1"/>
        <v>120000</v>
      </c>
    </row>
    <row r="11" spans="1:28" x14ac:dyDescent="0.25">
      <c r="A11" s="89" t="s">
        <v>302</v>
      </c>
      <c r="B11" s="89">
        <v>5</v>
      </c>
      <c r="C11" s="89" t="str">
        <f>VLOOKUP(B11,'1.2 HR-Data luong'!A:B,2,0)</f>
        <v>ADS05</v>
      </c>
      <c r="D11" s="89" t="str">
        <f>VLOOKUP($C11,'1.2 HR-Data luong'!$B:$BG,D$6,0)</f>
        <v>BD02 HN</v>
      </c>
      <c r="E11" s="89" t="str">
        <f>VLOOKUP($C11,'1.2 HR-Data luong'!$B:$BG,E$6,0)</f>
        <v>NguyenVanE</v>
      </c>
      <c r="F11" s="89" t="str">
        <f>VLOOKUP($C11,'1.2 HR-Data luong'!$B:$BG,F$6,0)</f>
        <v>Nguyễn Văn E</v>
      </c>
      <c r="G11" s="89" t="str">
        <f>VLOOKUP($C11,'1.2 HR-Data luong'!$B:$BG,G$6,0)</f>
        <v>HN</v>
      </c>
      <c r="H11" s="89" t="str">
        <f>VLOOKUP($C11,'1.2 HR-Data luong'!$B:$BG,H$6,0)</f>
        <v>Nhân viên</v>
      </c>
      <c r="I11" s="89" t="str">
        <f>VLOOKUP($C11,'1.2 HR-Data luong'!$B:$BG,I$6,0)</f>
        <v>C3</v>
      </c>
      <c r="J11" s="89" t="str">
        <f>VLOOKUP($C11,'1.2 HR-Data luong'!$B:$BG,J$6,0)</f>
        <v>CT</v>
      </c>
      <c r="K11" s="95">
        <f>VLOOKUP($C11,'1.2 HR-Data luong'!$B:$V,'1.2 HR-Data luong'!S$5,0)</f>
        <v>5000000</v>
      </c>
      <c r="L11" s="95">
        <f>VLOOKUP($C11,'1.2 HR-Data luong'!$B:$V,'1.2 HR-Data luong'!T$5,0)</f>
        <v>6000000</v>
      </c>
      <c r="M11" s="92">
        <f>VLOOKUP($C11,'1.2 HR-Data luong'!$B:$V,'1.2 HR-Data luong'!U$5,0)</f>
        <v>42917</v>
      </c>
      <c r="N11" s="119" t="str">
        <f>VLOOKUP($C11,'1.2 HR-Data luong'!$B:$V,'1.2 HR-Data luong'!V$5,0)</f>
        <v>Tăng lương do tăng cấp</v>
      </c>
      <c r="O11" s="99">
        <f t="shared" si="2"/>
        <v>6000000</v>
      </c>
      <c r="P11" s="99">
        <f t="shared" si="3"/>
        <v>1050000</v>
      </c>
      <c r="Q11" s="99">
        <f t="shared" si="1"/>
        <v>180000</v>
      </c>
      <c r="R11" s="99">
        <f t="shared" si="1"/>
        <v>60000</v>
      </c>
      <c r="S11" s="99">
        <f t="shared" si="1"/>
        <v>120000</v>
      </c>
      <c r="T11" s="99">
        <f t="shared" si="1"/>
        <v>480000</v>
      </c>
      <c r="U11" s="99">
        <f t="shared" si="1"/>
        <v>90000</v>
      </c>
      <c r="V11" s="99">
        <f t="shared" si="1"/>
        <v>60000</v>
      </c>
      <c r="W11" s="99">
        <f t="shared" si="1"/>
        <v>630000</v>
      </c>
      <c r="X11" s="99">
        <f t="shared" si="1"/>
        <v>60000</v>
      </c>
      <c r="Y11" s="99">
        <f t="shared" si="1"/>
        <v>1530000</v>
      </c>
      <c r="Z11" s="99">
        <f t="shared" si="1"/>
        <v>270000</v>
      </c>
      <c r="AA11" s="99">
        <f t="shared" si="1"/>
        <v>120000</v>
      </c>
      <c r="AB11" s="99">
        <f t="shared" si="1"/>
        <v>180000</v>
      </c>
    </row>
    <row r="12" spans="1:28" x14ac:dyDescent="0.25">
      <c r="A12" s="89" t="s">
        <v>302</v>
      </c>
      <c r="B12" s="89">
        <v>6</v>
      </c>
      <c r="C12" s="89" t="str">
        <f>VLOOKUP(B12,'1.2 HR-Data luong'!A:B,2,0)</f>
        <v>ADS06</v>
      </c>
      <c r="D12" s="89" t="str">
        <f>VLOOKUP($C12,'1.2 HR-Data luong'!$B:$BG,D$6,0)</f>
        <v>BD03 SG</v>
      </c>
      <c r="E12" s="89" t="str">
        <f>VLOOKUP($C12,'1.2 HR-Data luong'!$B:$BG,E$6,0)</f>
        <v>NguyenVanF</v>
      </c>
      <c r="F12" s="89" t="str">
        <f>VLOOKUP($C12,'1.2 HR-Data luong'!$B:$BG,F$6,0)</f>
        <v>Nguyễn Văn F</v>
      </c>
      <c r="G12" s="89" t="str">
        <f>VLOOKUP($C12,'1.2 HR-Data luong'!$B:$BG,G$6,0)</f>
        <v>HCM</v>
      </c>
      <c r="H12" s="89" t="str">
        <f>VLOOKUP($C12,'1.2 HR-Data luong'!$B:$BG,H$6,0)</f>
        <v>Trưởng phòng</v>
      </c>
      <c r="I12" s="89" t="str">
        <f>VLOOKUP($C12,'1.2 HR-Data luong'!$B:$BG,I$6,0)</f>
        <v>TP C3</v>
      </c>
      <c r="J12" s="89" t="str">
        <f>VLOOKUP($C12,'1.2 HR-Data luong'!$B:$BG,J$6,0)</f>
        <v>CT</v>
      </c>
      <c r="K12" s="95">
        <f>VLOOKUP($C12,'1.2 HR-Data luong'!$B:$V,'1.2 HR-Data luong'!S$5,0)</f>
        <v>6000000</v>
      </c>
      <c r="L12" s="95">
        <f>VLOOKUP($C12,'1.2 HR-Data luong'!$B:$V,'1.2 HR-Data luong'!T$5,0)</f>
        <v>0</v>
      </c>
      <c r="M12" s="92">
        <f>VLOOKUP($C12,'1.2 HR-Data luong'!$B:$V,'1.2 HR-Data luong'!U$5,0)</f>
        <v>0</v>
      </c>
      <c r="N12" s="119">
        <f>VLOOKUP($C12,'1.2 HR-Data luong'!$B:$V,'1.2 HR-Data luong'!V$5,0)</f>
        <v>0</v>
      </c>
      <c r="O12" s="99">
        <f t="shared" si="2"/>
        <v>6000000</v>
      </c>
      <c r="P12" s="99">
        <f t="shared" si="3"/>
        <v>1050000</v>
      </c>
      <c r="Q12" s="99">
        <f t="shared" si="1"/>
        <v>180000</v>
      </c>
      <c r="R12" s="99">
        <f t="shared" si="1"/>
        <v>60000</v>
      </c>
      <c r="S12" s="99">
        <f t="shared" si="1"/>
        <v>120000</v>
      </c>
      <c r="T12" s="99">
        <f t="shared" si="1"/>
        <v>480000</v>
      </c>
      <c r="U12" s="99">
        <f t="shared" si="1"/>
        <v>90000</v>
      </c>
      <c r="V12" s="99">
        <f t="shared" si="1"/>
        <v>60000</v>
      </c>
      <c r="W12" s="99">
        <f t="shared" si="1"/>
        <v>630000</v>
      </c>
      <c r="X12" s="99">
        <f t="shared" si="1"/>
        <v>60000</v>
      </c>
      <c r="Y12" s="99">
        <f t="shared" si="1"/>
        <v>1530000</v>
      </c>
      <c r="Z12" s="99">
        <f t="shared" si="1"/>
        <v>270000</v>
      </c>
      <c r="AA12" s="99">
        <f t="shared" si="1"/>
        <v>120000</v>
      </c>
      <c r="AB12" s="99">
        <f t="shared" si="1"/>
        <v>180000</v>
      </c>
    </row>
    <row r="13" spans="1:28" x14ac:dyDescent="0.25">
      <c r="A13" s="89" t="s">
        <v>302</v>
      </c>
      <c r="B13" s="89">
        <v>7</v>
      </c>
      <c r="C13" s="89" t="str">
        <f>VLOOKUP(B13,'1.2 HR-Data luong'!A:B,2,0)</f>
        <v>ADS07</v>
      </c>
      <c r="D13" s="89" t="str">
        <f>VLOOKUP($C13,'1.2 HR-Data luong'!$B:$BG,D$6,0)</f>
        <v>BD03 SG</v>
      </c>
      <c r="E13" s="89" t="str">
        <f>VLOOKUP($C13,'1.2 HR-Data luong'!$B:$BG,E$6,0)</f>
        <v>NguyenVanG</v>
      </c>
      <c r="F13" s="89" t="str">
        <f>VLOOKUP($C13,'1.2 HR-Data luong'!$B:$BG,F$6,0)</f>
        <v>Nguyễn Văn G</v>
      </c>
      <c r="G13" s="89" t="str">
        <f>VLOOKUP($C13,'1.2 HR-Data luong'!$B:$BG,G$6,0)</f>
        <v>HCM</v>
      </c>
      <c r="H13" s="89" t="str">
        <f>VLOOKUP($C13,'1.2 HR-Data luong'!$B:$BG,H$6,0)</f>
        <v>Nhân viên</v>
      </c>
      <c r="I13" s="89" t="str">
        <f>VLOOKUP($C13,'1.2 HR-Data luong'!$B:$BG,I$6,0)</f>
        <v>C4</v>
      </c>
      <c r="J13" s="89" t="str">
        <f>VLOOKUP($C13,'1.2 HR-Data luong'!$B:$BG,J$6,0)</f>
        <v>CT</v>
      </c>
      <c r="K13" s="95">
        <f>VLOOKUP($C13,'1.2 HR-Data luong'!$B:$V,'1.2 HR-Data luong'!S$5,0)</f>
        <v>7000000</v>
      </c>
      <c r="L13" s="95">
        <f>VLOOKUP($C13,'1.2 HR-Data luong'!$B:$V,'1.2 HR-Data luong'!T$5,0)</f>
        <v>0</v>
      </c>
      <c r="M13" s="92">
        <f>VLOOKUP($C13,'1.2 HR-Data luong'!$B:$V,'1.2 HR-Data luong'!U$5,0)</f>
        <v>0</v>
      </c>
      <c r="N13" s="119">
        <f>VLOOKUP($C13,'1.2 HR-Data luong'!$B:$V,'1.2 HR-Data luong'!V$5,0)</f>
        <v>0</v>
      </c>
      <c r="O13" s="99">
        <f t="shared" si="2"/>
        <v>7000000</v>
      </c>
      <c r="P13" s="99">
        <f t="shared" si="3"/>
        <v>1225000</v>
      </c>
      <c r="Q13" s="99">
        <f t="shared" si="1"/>
        <v>210000</v>
      </c>
      <c r="R13" s="99">
        <f t="shared" si="1"/>
        <v>70000</v>
      </c>
      <c r="S13" s="99">
        <f t="shared" si="1"/>
        <v>140000</v>
      </c>
      <c r="T13" s="99">
        <f t="shared" si="1"/>
        <v>560000</v>
      </c>
      <c r="U13" s="99">
        <f t="shared" si="1"/>
        <v>105000</v>
      </c>
      <c r="V13" s="99">
        <f t="shared" si="1"/>
        <v>70000</v>
      </c>
      <c r="W13" s="99">
        <f t="shared" si="1"/>
        <v>735000</v>
      </c>
      <c r="X13" s="99">
        <f t="shared" si="1"/>
        <v>70000</v>
      </c>
      <c r="Y13" s="99">
        <f t="shared" si="1"/>
        <v>1785000</v>
      </c>
      <c r="Z13" s="99">
        <f t="shared" si="1"/>
        <v>315000</v>
      </c>
      <c r="AA13" s="99">
        <f t="shared" si="1"/>
        <v>140000</v>
      </c>
      <c r="AB13" s="99">
        <f t="shared" si="1"/>
        <v>210000</v>
      </c>
    </row>
    <row r="14" spans="1:28" x14ac:dyDescent="0.25">
      <c r="A14" s="89" t="s">
        <v>302</v>
      </c>
      <c r="B14" s="89">
        <v>8</v>
      </c>
      <c r="C14" s="89" t="str">
        <f>VLOOKUP(B14,'1.2 HR-Data luong'!A:B,2,0)</f>
        <v>ADS08</v>
      </c>
      <c r="D14" s="89" t="str">
        <f>VLOOKUP($C14,'1.2 HR-Data luong'!$B:$BG,D$6,0)</f>
        <v>BD03 SG</v>
      </c>
      <c r="E14" s="89" t="str">
        <f>VLOOKUP($C14,'1.2 HR-Data luong'!$B:$BG,E$6,0)</f>
        <v>NguyenVanH</v>
      </c>
      <c r="F14" s="89" t="str">
        <f>VLOOKUP($C14,'1.2 HR-Data luong'!$B:$BG,F$6,0)</f>
        <v>Nguyễn Văn H</v>
      </c>
      <c r="G14" s="89" t="str">
        <f>VLOOKUP($C14,'1.2 HR-Data luong'!$B:$BG,G$6,0)</f>
        <v>HCM</v>
      </c>
      <c r="H14" s="89" t="str">
        <f>VLOOKUP($C14,'1.2 HR-Data luong'!$B:$BG,H$6,0)</f>
        <v>Nhân viên</v>
      </c>
      <c r="I14" s="89" t="str">
        <f>VLOOKUP($C14,'1.2 HR-Data luong'!$B:$BG,I$6,0)</f>
        <v>S1</v>
      </c>
      <c r="J14" s="89" t="str">
        <f>VLOOKUP($C14,'1.2 HR-Data luong'!$B:$BG,J$6,0)</f>
        <v>CT</v>
      </c>
      <c r="K14" s="95">
        <f>VLOOKUP($C14,'1.2 HR-Data luong'!$B:$V,'1.2 HR-Data luong'!S$5,0)</f>
        <v>8000000</v>
      </c>
      <c r="L14" s="95">
        <f>VLOOKUP($C14,'1.2 HR-Data luong'!$B:$V,'1.2 HR-Data luong'!T$5,0)</f>
        <v>10000000</v>
      </c>
      <c r="M14" s="92">
        <f>VLOOKUP($C14,'1.2 HR-Data luong'!$B:$V,'1.2 HR-Data luong'!U$5,0)</f>
        <v>42917</v>
      </c>
      <c r="N14" s="119" t="str">
        <f>VLOOKUP($C14,'1.2 HR-Data luong'!$B:$V,'1.2 HR-Data luong'!V$5,0)</f>
        <v>Vào chính thức</v>
      </c>
      <c r="O14" s="99">
        <f t="shared" si="2"/>
        <v>10000000</v>
      </c>
      <c r="P14" s="99">
        <f t="shared" si="3"/>
        <v>1750000</v>
      </c>
      <c r="Q14" s="99">
        <f t="shared" si="1"/>
        <v>300000</v>
      </c>
      <c r="R14" s="99">
        <f t="shared" si="1"/>
        <v>100000</v>
      </c>
      <c r="S14" s="99">
        <f t="shared" si="1"/>
        <v>200000</v>
      </c>
      <c r="T14" s="99">
        <f t="shared" si="1"/>
        <v>800000</v>
      </c>
      <c r="U14" s="99">
        <f t="shared" si="1"/>
        <v>150000</v>
      </c>
      <c r="V14" s="99">
        <f t="shared" si="1"/>
        <v>100000</v>
      </c>
      <c r="W14" s="99">
        <f t="shared" si="1"/>
        <v>1050000</v>
      </c>
      <c r="X14" s="99">
        <f t="shared" si="1"/>
        <v>100000</v>
      </c>
      <c r="Y14" s="99">
        <f t="shared" si="1"/>
        <v>2550000</v>
      </c>
      <c r="Z14" s="99">
        <f t="shared" si="1"/>
        <v>450000</v>
      </c>
      <c r="AA14" s="99">
        <f t="shared" si="1"/>
        <v>200000</v>
      </c>
      <c r="AB14" s="99">
        <f t="shared" si="1"/>
        <v>300000</v>
      </c>
    </row>
    <row r="15" spans="1:28" x14ac:dyDescent="0.25">
      <c r="A15" s="89" t="s">
        <v>302</v>
      </c>
      <c r="B15" s="89">
        <v>9</v>
      </c>
      <c r="C15" s="89" t="str">
        <f>VLOOKUP(B15,'1.2 HR-Data luong'!A:B,2,0)</f>
        <v>ADS09</v>
      </c>
      <c r="D15" s="89" t="str">
        <f>VLOOKUP($C15,'1.2 HR-Data luong'!$B:$BG,D$6,0)</f>
        <v>HR HN</v>
      </c>
      <c r="E15" s="89" t="str">
        <f>VLOOKUP($C15,'1.2 HR-Data luong'!$B:$BG,E$6,0)</f>
        <v>NguyenVanI</v>
      </c>
      <c r="F15" s="89" t="str">
        <f>VLOOKUP($C15,'1.2 HR-Data luong'!$B:$BG,F$6,0)</f>
        <v>Nguyễn Văn I</v>
      </c>
      <c r="G15" s="89" t="str">
        <f>VLOOKUP($C15,'1.2 HR-Data luong'!$B:$BG,G$6,0)</f>
        <v>HN</v>
      </c>
      <c r="H15" s="89" t="str">
        <f>VLOOKUP($C15,'1.2 HR-Data luong'!$B:$BG,H$6,0)</f>
        <v>Trưởng phòng</v>
      </c>
      <c r="I15" s="89" t="str">
        <f>VLOOKUP($C15,'1.2 HR-Data luong'!$B:$BG,I$6,0)</f>
        <v>TP KPC</v>
      </c>
      <c r="J15" s="89" t="str">
        <f>VLOOKUP($C15,'1.2 HR-Data luong'!$B:$BG,J$6,0)</f>
        <v>CT</v>
      </c>
      <c r="K15" s="95">
        <f>VLOOKUP($C15,'1.2 HR-Data luong'!$B:$V,'1.2 HR-Data luong'!S$5,0)</f>
        <v>9000000</v>
      </c>
      <c r="L15" s="95">
        <f>VLOOKUP($C15,'1.2 HR-Data luong'!$B:$V,'1.2 HR-Data luong'!T$5,0)</f>
        <v>0</v>
      </c>
      <c r="M15" s="92">
        <f>VLOOKUP($C15,'1.2 HR-Data luong'!$B:$V,'1.2 HR-Data luong'!U$5,0)</f>
        <v>0</v>
      </c>
      <c r="N15" s="119">
        <f>VLOOKUP($C15,'1.2 HR-Data luong'!$B:$V,'1.2 HR-Data luong'!V$5,0)</f>
        <v>0</v>
      </c>
      <c r="O15" s="99">
        <f t="shared" si="2"/>
        <v>9000000</v>
      </c>
      <c r="P15" s="99">
        <f t="shared" si="3"/>
        <v>1575000</v>
      </c>
      <c r="Q15" s="99">
        <f t="shared" si="1"/>
        <v>270000</v>
      </c>
      <c r="R15" s="99">
        <f t="shared" si="1"/>
        <v>90000</v>
      </c>
      <c r="S15" s="99">
        <f t="shared" si="1"/>
        <v>180000</v>
      </c>
      <c r="T15" s="99">
        <f t="shared" si="1"/>
        <v>720000</v>
      </c>
      <c r="U15" s="99">
        <f t="shared" si="1"/>
        <v>135000</v>
      </c>
      <c r="V15" s="99">
        <f t="shared" si="1"/>
        <v>90000</v>
      </c>
      <c r="W15" s="99">
        <f t="shared" si="1"/>
        <v>945000</v>
      </c>
      <c r="X15" s="99">
        <f t="shared" si="1"/>
        <v>90000</v>
      </c>
      <c r="Y15" s="99">
        <f t="shared" si="1"/>
        <v>2295000</v>
      </c>
      <c r="Z15" s="99">
        <f t="shared" si="1"/>
        <v>405000</v>
      </c>
      <c r="AA15" s="99">
        <f t="shared" si="1"/>
        <v>180000</v>
      </c>
      <c r="AB15" s="99">
        <f t="shared" si="1"/>
        <v>270000</v>
      </c>
    </row>
    <row r="16" spans="1:28" x14ac:dyDescent="0.25">
      <c r="A16" s="89" t="s">
        <v>302</v>
      </c>
      <c r="B16" s="89">
        <v>10</v>
      </c>
      <c r="C16" s="89" t="str">
        <f>VLOOKUP(B16,'1.2 HR-Data luong'!A:B,2,0)</f>
        <v>ADS10</v>
      </c>
      <c r="D16" s="89" t="str">
        <f>VLOOKUP($C16,'1.2 HR-Data luong'!$B:$BG,D$6,0)</f>
        <v>HR HN</v>
      </c>
      <c r="E16" s="89" t="str">
        <f>VLOOKUP($C16,'1.2 HR-Data luong'!$B:$BG,E$6,0)</f>
        <v>NguyenVanK</v>
      </c>
      <c r="F16" s="89" t="str">
        <f>VLOOKUP($C16,'1.2 HR-Data luong'!$B:$BG,F$6,0)</f>
        <v>Nguyễn Văn K</v>
      </c>
      <c r="G16" s="89" t="str">
        <f>VLOOKUP($C16,'1.2 HR-Data luong'!$B:$BG,G$6,0)</f>
        <v>HN</v>
      </c>
      <c r="H16" s="89" t="str">
        <f>VLOOKUP($C16,'1.2 HR-Data luong'!$B:$BG,H$6,0)</f>
        <v>Nhân viên</v>
      </c>
      <c r="I16" s="89" t="str">
        <f>VLOOKUP($C16,'1.2 HR-Data luong'!$B:$BG,I$6,0)</f>
        <v>C1</v>
      </c>
      <c r="J16" s="89" t="str">
        <f>VLOOKUP($C16,'1.2 HR-Data luong'!$B:$BG,J$6,0)</f>
        <v>CT</v>
      </c>
      <c r="K16" s="95">
        <f>VLOOKUP($C16,'1.2 HR-Data luong'!$B:$V,'1.2 HR-Data luong'!S$5,0)</f>
        <v>10000000</v>
      </c>
      <c r="L16" s="95">
        <f>VLOOKUP($C16,'1.2 HR-Data luong'!$B:$V,'1.2 HR-Data luong'!T$5,0)</f>
        <v>0</v>
      </c>
      <c r="M16" s="92">
        <f>VLOOKUP($C16,'1.2 HR-Data luong'!$B:$V,'1.2 HR-Data luong'!U$5,0)</f>
        <v>0</v>
      </c>
      <c r="N16" s="119">
        <f>VLOOKUP($C16,'1.2 HR-Data luong'!$B:$V,'1.2 HR-Data luong'!V$5,0)</f>
        <v>0</v>
      </c>
      <c r="O16" s="99">
        <f t="shared" si="2"/>
        <v>10000000</v>
      </c>
      <c r="P16" s="99">
        <f t="shared" si="3"/>
        <v>1750000</v>
      </c>
      <c r="Q16" s="99">
        <f t="shared" si="1"/>
        <v>300000</v>
      </c>
      <c r="R16" s="99">
        <f t="shared" si="1"/>
        <v>100000</v>
      </c>
      <c r="S16" s="99">
        <f t="shared" si="1"/>
        <v>200000</v>
      </c>
      <c r="T16" s="99">
        <f t="shared" si="1"/>
        <v>800000</v>
      </c>
      <c r="U16" s="99">
        <f t="shared" si="1"/>
        <v>150000</v>
      </c>
      <c r="V16" s="99">
        <f t="shared" si="1"/>
        <v>100000</v>
      </c>
      <c r="W16" s="99">
        <f t="shared" si="1"/>
        <v>1050000</v>
      </c>
      <c r="X16" s="99">
        <f t="shared" si="1"/>
        <v>100000</v>
      </c>
      <c r="Y16" s="99">
        <f t="shared" si="1"/>
        <v>2550000</v>
      </c>
      <c r="Z16" s="99">
        <f t="shared" si="1"/>
        <v>450000</v>
      </c>
      <c r="AA16" s="99">
        <f t="shared" si="1"/>
        <v>200000</v>
      </c>
      <c r="AB16" s="99">
        <f t="shared" si="1"/>
        <v>300000</v>
      </c>
    </row>
  </sheetData>
  <mergeCells count="15">
    <mergeCell ref="A3:A4"/>
    <mergeCell ref="T3:X3"/>
    <mergeCell ref="Y3:AB3"/>
    <mergeCell ref="O3:O4"/>
    <mergeCell ref="K3:N3"/>
    <mergeCell ref="P3:S3"/>
    <mergeCell ref="H3:H4"/>
    <mergeCell ref="I3:I4"/>
    <mergeCell ref="J3:J4"/>
    <mergeCell ref="B3:B4"/>
    <mergeCell ref="C3:C4"/>
    <mergeCell ref="D3:D4"/>
    <mergeCell ref="E3:E4"/>
    <mergeCell ref="F3:F4"/>
    <mergeCell ref="G3:G4"/>
  </mergeCells>
  <conditionalFormatting sqref="C3:C6 E6 G6 I6 K6 M6 O6 Q6 S6 U6 W6 Y6 AA6">
    <cfRule type="duplicateValues" dxfId="4" priority="17"/>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6"/>
  <sheetViews>
    <sheetView topLeftCell="C4" zoomScale="85" zoomScaleNormal="85" workbookViewId="0">
      <selection activeCell="P7" sqref="P7"/>
    </sheetView>
  </sheetViews>
  <sheetFormatPr defaultRowHeight="15" x14ac:dyDescent="0.25"/>
  <cols>
    <col min="2" max="2" width="4" customWidth="1"/>
    <col min="5" max="6" width="14.5703125" customWidth="1"/>
    <col min="8" max="8" width="13.85546875" customWidth="1"/>
    <col min="11" max="11" width="12.85546875" customWidth="1"/>
    <col min="12" max="12" width="11.5703125" bestFit="1" customWidth="1"/>
    <col min="15" max="15" width="11.5703125" style="99" bestFit="1" customWidth="1"/>
    <col min="16" max="16" width="14.28515625" bestFit="1" customWidth="1"/>
    <col min="17" max="17" width="9.28515625" bestFit="1" customWidth="1"/>
    <col min="19" max="19" width="12" customWidth="1"/>
    <col min="20" max="23" width="10.42578125" customWidth="1"/>
    <col min="24" max="24" width="13.28515625" bestFit="1" customWidth="1"/>
    <col min="26" max="26" width="13.28515625" bestFit="1" customWidth="1"/>
    <col min="27" max="27" width="11.42578125" customWidth="1"/>
    <col min="28" max="29" width="12.85546875" customWidth="1"/>
    <col min="30" max="31" width="13.28515625" bestFit="1" customWidth="1"/>
    <col min="32" max="32" width="14.28515625" bestFit="1" customWidth="1"/>
    <col min="33" max="33" width="9.140625" style="133"/>
  </cols>
  <sheetData>
    <row r="1" spans="1:32" x14ac:dyDescent="0.25">
      <c r="A1" s="97" t="s">
        <v>254</v>
      </c>
    </row>
    <row r="2" spans="1:32" x14ac:dyDescent="0.25">
      <c r="B2" s="97"/>
    </row>
    <row r="3" spans="1:32" ht="15" customHeight="1" x14ac:dyDescent="0.25">
      <c r="A3" s="336" t="s">
        <v>469</v>
      </c>
      <c r="B3" s="336" t="s">
        <v>0</v>
      </c>
      <c r="C3" s="336" t="s">
        <v>1</v>
      </c>
      <c r="D3" s="336" t="s">
        <v>2</v>
      </c>
      <c r="E3" s="336" t="s">
        <v>218</v>
      </c>
      <c r="F3" s="336" t="s">
        <v>3</v>
      </c>
      <c r="G3" s="336" t="s">
        <v>4</v>
      </c>
      <c r="H3" s="336" t="s">
        <v>5</v>
      </c>
      <c r="I3" s="336" t="s">
        <v>6</v>
      </c>
      <c r="J3" s="336" t="s">
        <v>7</v>
      </c>
      <c r="K3" s="336" t="s">
        <v>255</v>
      </c>
      <c r="L3" s="350" t="s">
        <v>260</v>
      </c>
      <c r="M3" s="351"/>
      <c r="N3" s="351"/>
      <c r="O3" s="351"/>
      <c r="P3" s="350" t="s">
        <v>259</v>
      </c>
      <c r="Q3" s="351"/>
      <c r="R3" s="351"/>
      <c r="S3" s="351"/>
      <c r="T3" s="350" t="s">
        <v>282</v>
      </c>
      <c r="U3" s="351"/>
      <c r="V3" s="351"/>
      <c r="W3" s="351"/>
      <c r="X3" s="350" t="s">
        <v>279</v>
      </c>
      <c r="Y3" s="351"/>
      <c r="Z3" s="351"/>
      <c r="AA3" s="351"/>
      <c r="AB3" s="336" t="s">
        <v>285</v>
      </c>
      <c r="AC3" s="336" t="s">
        <v>30</v>
      </c>
      <c r="AD3" s="336" t="s">
        <v>286</v>
      </c>
      <c r="AE3" s="336" t="s">
        <v>287</v>
      </c>
      <c r="AF3" s="336" t="s">
        <v>288</v>
      </c>
    </row>
    <row r="4" spans="1:32" ht="89.25" x14ac:dyDescent="0.25">
      <c r="A4" s="336"/>
      <c r="B4" s="336"/>
      <c r="C4" s="336"/>
      <c r="D4" s="336"/>
      <c r="E4" s="336"/>
      <c r="F4" s="336"/>
      <c r="G4" s="336"/>
      <c r="H4" s="336"/>
      <c r="I4" s="336"/>
      <c r="J4" s="336"/>
      <c r="K4" s="336"/>
      <c r="L4" s="110" t="s">
        <v>256</v>
      </c>
      <c r="M4" s="110" t="s">
        <v>257</v>
      </c>
      <c r="N4" s="110" t="s">
        <v>237</v>
      </c>
      <c r="O4" s="127" t="s">
        <v>258</v>
      </c>
      <c r="P4" s="113" t="s">
        <v>261</v>
      </c>
      <c r="Q4" s="113" t="s">
        <v>240</v>
      </c>
      <c r="R4" s="113" t="s">
        <v>262</v>
      </c>
      <c r="S4" s="113" t="s">
        <v>278</v>
      </c>
      <c r="T4" s="113" t="s">
        <v>167</v>
      </c>
      <c r="U4" s="113" t="s">
        <v>168</v>
      </c>
      <c r="V4" s="113" t="s">
        <v>169</v>
      </c>
      <c r="W4" s="113" t="s">
        <v>283</v>
      </c>
      <c r="X4" s="110" t="s">
        <v>280</v>
      </c>
      <c r="Y4" s="110" t="s">
        <v>281</v>
      </c>
      <c r="Z4" s="110" t="s">
        <v>279</v>
      </c>
      <c r="AA4" s="110" t="s">
        <v>284</v>
      </c>
      <c r="AB4" s="336"/>
      <c r="AC4" s="336"/>
      <c r="AD4" s="336"/>
      <c r="AE4" s="336"/>
      <c r="AF4" s="336"/>
    </row>
    <row r="5" spans="1:32" x14ac:dyDescent="0.25">
      <c r="A5" s="90"/>
      <c r="B5" s="121"/>
      <c r="C5" s="121"/>
      <c r="D5" s="121"/>
      <c r="E5" s="121"/>
      <c r="F5" s="121"/>
      <c r="G5" s="121"/>
      <c r="H5" s="121"/>
      <c r="I5" s="121"/>
      <c r="J5" s="121"/>
      <c r="K5" s="121"/>
      <c r="L5" s="131">
        <v>600000</v>
      </c>
      <c r="M5" s="121"/>
      <c r="N5" s="121"/>
      <c r="O5" s="128"/>
      <c r="P5" s="125"/>
      <c r="Q5" s="125"/>
      <c r="R5" s="125"/>
      <c r="S5" s="125"/>
      <c r="T5" s="125"/>
      <c r="U5" s="125"/>
      <c r="V5" s="125"/>
      <c r="W5" s="125"/>
      <c r="X5" s="131">
        <v>9000000</v>
      </c>
      <c r="Y5" s="125"/>
      <c r="Z5" s="131">
        <v>3600000</v>
      </c>
      <c r="AA5" s="121"/>
      <c r="AB5" s="121"/>
      <c r="AC5" s="121"/>
      <c r="AD5" s="121"/>
      <c r="AE5" s="121"/>
      <c r="AF5" s="121"/>
    </row>
    <row r="6" spans="1:32" x14ac:dyDescent="0.25">
      <c r="A6" s="90"/>
      <c r="B6" s="90"/>
      <c r="C6" s="90">
        <v>1</v>
      </c>
      <c r="D6" s="90">
        <v>2</v>
      </c>
      <c r="E6" s="90">
        <v>3</v>
      </c>
      <c r="F6" s="90">
        <v>4</v>
      </c>
      <c r="G6" s="90">
        <v>5</v>
      </c>
      <c r="H6" s="90">
        <v>6</v>
      </c>
      <c r="I6" s="90">
        <v>7</v>
      </c>
      <c r="J6" s="90">
        <v>8</v>
      </c>
      <c r="K6" s="90">
        <v>9</v>
      </c>
      <c r="L6" s="90">
        <v>10</v>
      </c>
      <c r="M6" s="90">
        <v>11</v>
      </c>
      <c r="N6" s="90">
        <v>12</v>
      </c>
      <c r="O6" s="103">
        <v>13</v>
      </c>
      <c r="P6" s="90">
        <v>14</v>
      </c>
      <c r="Q6" s="90">
        <v>15</v>
      </c>
      <c r="R6" s="90">
        <v>16</v>
      </c>
      <c r="S6" s="90">
        <v>17</v>
      </c>
      <c r="T6" s="90">
        <v>14</v>
      </c>
      <c r="U6" s="90">
        <v>15</v>
      </c>
      <c r="V6" s="90">
        <v>16</v>
      </c>
      <c r="W6" s="90">
        <v>17</v>
      </c>
      <c r="X6" s="90">
        <v>18</v>
      </c>
      <c r="Y6" s="90">
        <v>19</v>
      </c>
      <c r="Z6" s="90">
        <v>20</v>
      </c>
      <c r="AA6" s="90">
        <v>21</v>
      </c>
      <c r="AB6" s="90">
        <v>22</v>
      </c>
      <c r="AC6" s="90">
        <v>23</v>
      </c>
      <c r="AD6" s="90">
        <v>24</v>
      </c>
      <c r="AE6" s="90">
        <v>25</v>
      </c>
      <c r="AF6" s="90">
        <v>26</v>
      </c>
    </row>
    <row r="7" spans="1:32" x14ac:dyDescent="0.25">
      <c r="A7" s="89" t="s">
        <v>302</v>
      </c>
      <c r="B7" s="89">
        <v>1</v>
      </c>
      <c r="C7" s="89" t="str">
        <f>VLOOKUP(B7,'1.2 HR-Data luong'!A:B,2,0)</f>
        <v>ADS01</v>
      </c>
      <c r="D7" s="89" t="str">
        <f>VLOOKUP($C7,'1.2 HR-Data luong'!$B:$BG,D$6,0)</f>
        <v>BD01 HN</v>
      </c>
      <c r="E7" s="89" t="str">
        <f>VLOOKUP($C7,'1.2 HR-Data luong'!$B:$BG,E$6,0)</f>
        <v>NguyenVanA</v>
      </c>
      <c r="F7" s="89" t="str">
        <f>VLOOKUP($C7,'1.2 HR-Data luong'!$B:$BG,F$6,0)</f>
        <v>Nguyễn Văn A</v>
      </c>
      <c r="G7" s="89" t="str">
        <f>VLOOKUP($C7,'1.2 HR-Data luong'!$B:$BG,G$6,0)</f>
        <v>HN</v>
      </c>
      <c r="H7" s="89" t="str">
        <f>VLOOKUP($C7,'1.2 HR-Data luong'!$B:$BG,H$6,0)</f>
        <v>Trưởng phòng</v>
      </c>
      <c r="I7" s="89" t="str">
        <f>VLOOKUP($C7,'1.2 HR-Data luong'!$B:$BG,I$6,0)</f>
        <v>TP C1</v>
      </c>
      <c r="J7" s="89" t="str">
        <f>VLOOKUP($C7,'1.2 HR-Data luong'!$B:$BG,J$6,0)</f>
        <v>CT</v>
      </c>
      <c r="K7" s="99">
        <f>VLOOKUP(C7,'4. ERP-BANG LUONG'!D:AH,31,0)</f>
        <v>68032898.76543209</v>
      </c>
      <c r="L7" s="99">
        <v>600000</v>
      </c>
      <c r="M7">
        <f>VLOOKUP(C7,'1.2 HR-Data luong'!B:AC,'1.2 HR-Data luong'!R$5,0)</f>
        <v>20.5</v>
      </c>
      <c r="N7">
        <v>22.5</v>
      </c>
      <c r="O7" s="105">
        <f>L7/N7*M7</f>
        <v>546666.66666666674</v>
      </c>
      <c r="P7" s="99">
        <f>VLOOKUP(C7,'2.2 KT-THUONG'!C:R,15,0)</f>
        <v>50000000</v>
      </c>
      <c r="Q7" s="99">
        <f>VLOOKUP(C7,'2.2 KT-THUONG'!C:R,16,0)</f>
        <v>0</v>
      </c>
      <c r="R7">
        <f>VLOOKUP(C7,'4. ERP-BANG LUONG'!D:AG,29,0)</f>
        <v>0</v>
      </c>
      <c r="S7" s="99">
        <f>VLOOKUP(C7,'2.3 KT-GIAM TRU'!C:U,17,0)</f>
        <v>10000000</v>
      </c>
      <c r="T7" s="99">
        <f>VLOOKUP(C7,'3.4 ERP-BHXH'!C:X,18,0)</f>
        <v>80000</v>
      </c>
      <c r="U7" s="99">
        <f>VLOOKUP(C7,'3.4 ERP-BHXH'!C:X,19,0)</f>
        <v>15000</v>
      </c>
      <c r="V7">
        <f>VLOOKUP(C7,'3.4 ERP-BHXH'!C:X,20,0)</f>
        <v>10000</v>
      </c>
      <c r="W7" s="99"/>
      <c r="X7" s="99">
        <f>IF(M7&gt;0,9000000,0)</f>
        <v>9000000</v>
      </c>
      <c r="Y7">
        <f>VLOOKUP(C7,'2.3 KT-GIAM TRU'!C:V,20,0)</f>
        <v>0</v>
      </c>
      <c r="Z7" s="99">
        <f>Y7*$Z$5</f>
        <v>0</v>
      </c>
      <c r="AA7" s="152">
        <f>SUM(X7,Z7)</f>
        <v>9000000</v>
      </c>
      <c r="AB7" s="132">
        <f>MAX(0,K7-SUM(O7,P7:S7,T7:W7,AA7))</f>
        <v>0</v>
      </c>
      <c r="AC7" s="152">
        <f>IF(AB7&gt;'2.1 KT-Update ty le'!$A$16,AB7*'2.1 KT-Update ty le'!$B$17-'2.1 KT-Update ty le'!$E$17,IF(AB7&gt;'2.1 KT-Update ty le'!$A$15, AB7*'2.1 KT-Update ty le'!$B$16-'2.1 KT-Update ty le'!$E$16,IF(AB7&gt;'2.1 KT-Update ty le'!$A$14, AB7*'2.1 KT-Update ty le'!$B$15-'2.1 KT-Update ty le'!$E$15,IF(AB7&gt;'2.1 KT-Update ty le'!$A$13, AB7*'2.1 KT-Update ty le'!$B$14-'2.1 KT-Update ty le'!$E$14,IF(AB7&gt;'2.1 KT-Update ty le'!$A$12, AB7*'2.1 KT-Update ty le'!$B$13-'2.1 KT-Update ty le'!$E$13,IF(AB7&gt;'2.1 KT-Update ty le'!$A$11, AB7*'2.1 KT-Update ty le'!$B$12-'2.1 KT-Update ty le'!$E$12,IF(AB7&gt;0, AB7*'2.1 KT-Update ty le'!$B$11,0)))))))</f>
        <v>0</v>
      </c>
      <c r="AD7" s="99">
        <f>VLOOKUP(C7,'2.3 KT-GIAM TRU'!C:V,18,0)</f>
        <v>0</v>
      </c>
      <c r="AE7" s="99">
        <f>VLOOKUP(C7,'2.3 KT-GIAM TRU'!C:V,19,0)</f>
        <v>0</v>
      </c>
      <c r="AF7" s="105">
        <f>IF(AE7&gt;0,AE7,AC7-AD7)</f>
        <v>0</v>
      </c>
    </row>
    <row r="8" spans="1:32" x14ac:dyDescent="0.25">
      <c r="A8" s="89" t="s">
        <v>302</v>
      </c>
      <c r="B8" s="89">
        <v>2</v>
      </c>
      <c r="C8" s="89" t="str">
        <f>VLOOKUP(B8,'1.2 HR-Data luong'!A:B,2,0)</f>
        <v>ADS02</v>
      </c>
      <c r="D8" s="89" t="str">
        <f>VLOOKUP($C8,'1.2 HR-Data luong'!$B:$BG,D$6,0)</f>
        <v>BD01 HN</v>
      </c>
      <c r="E8" s="89" t="str">
        <f>VLOOKUP($C8,'1.2 HR-Data luong'!$B:$BG,E$6,0)</f>
        <v>NguyenVanB</v>
      </c>
      <c r="F8" s="89" t="str">
        <f>VLOOKUP($C8,'1.2 HR-Data luong'!$B:$BG,F$6,0)</f>
        <v>Nguyễn Văn B</v>
      </c>
      <c r="G8" s="89" t="str">
        <f>VLOOKUP($C8,'1.2 HR-Data luong'!$B:$BG,G$6,0)</f>
        <v>HN</v>
      </c>
      <c r="H8" s="89" t="str">
        <f>VLOOKUP($C8,'1.2 HR-Data luong'!$B:$BG,H$6,0)</f>
        <v>Nhân viên</v>
      </c>
      <c r="I8" s="89" t="str">
        <f>VLOOKUP($C8,'1.2 HR-Data luong'!$B:$BG,I$6,0)</f>
        <v>C1</v>
      </c>
      <c r="J8" s="89" t="str">
        <f>VLOOKUP($C8,'1.2 HR-Data luong'!$B:$BG,J$6,0)</f>
        <v>CT</v>
      </c>
      <c r="K8" s="99">
        <f>VLOOKUP(C8,'4. ERP-BANG LUONG'!D:AH,31,0)</f>
        <v>74803111.111111104</v>
      </c>
      <c r="L8" s="99">
        <v>600000</v>
      </c>
      <c r="M8">
        <f>VLOOKUP(C8,'1.2 HR-Data luong'!B:AC,'1.2 HR-Data luong'!R$5,0)</f>
        <v>20.5</v>
      </c>
      <c r="N8">
        <v>22.5</v>
      </c>
      <c r="O8" s="105">
        <f t="shared" ref="O8:O16" si="0">L8/N8*M8</f>
        <v>546666.66666666674</v>
      </c>
      <c r="P8" s="99">
        <f>VLOOKUP(C8,'2.2 KT-THUONG'!C:R,15,0)</f>
        <v>50000000</v>
      </c>
      <c r="Q8" s="99">
        <f>VLOOKUP(C8,'2.2 KT-THUONG'!C:R,16,0)</f>
        <v>0</v>
      </c>
      <c r="R8">
        <f>VLOOKUP(C8,'4. ERP-BANG LUONG'!D:AG,29,0)</f>
        <v>0</v>
      </c>
      <c r="S8" s="99">
        <f>VLOOKUP(C8,'2.3 KT-GIAM TRU'!C:U,17,0)</f>
        <v>0</v>
      </c>
      <c r="T8" s="99">
        <f>VLOOKUP(C8,'3.4 ERP-BHXH'!C:X,18,0)</f>
        <v>160000</v>
      </c>
      <c r="U8" s="99">
        <f>VLOOKUP(C8,'3.4 ERP-BHXH'!C:X,19,0)</f>
        <v>30000</v>
      </c>
      <c r="V8">
        <f>VLOOKUP(C8,'3.4 ERP-BHXH'!C:X,20,0)</f>
        <v>20000</v>
      </c>
      <c r="W8" s="99"/>
      <c r="X8" s="99">
        <f t="shared" ref="X8:X16" si="1">IF(M8&gt;0,9000000,0)</f>
        <v>9000000</v>
      </c>
      <c r="Y8">
        <f>VLOOKUP(C8,'2.3 KT-GIAM TRU'!C:V,20,0)</f>
        <v>0</v>
      </c>
      <c r="Z8" s="99">
        <f t="shared" ref="Z8:Z16" si="2">Y8*$Z$5</f>
        <v>0</v>
      </c>
      <c r="AA8" s="152">
        <f t="shared" ref="AA8:AA16" si="3">SUM(X8,Z8)</f>
        <v>9000000</v>
      </c>
      <c r="AB8" s="132">
        <f t="shared" ref="AB8:AB16" si="4">MAX(0,K8-SUM(O8,P8:S8,T8:W8,AA8))</f>
        <v>15046444.44444444</v>
      </c>
      <c r="AC8" s="152">
        <f>IF(AB8&gt;'2.1 KT-Update ty le'!$A$16,AB8*'2.1 KT-Update ty le'!$B$17-'2.1 KT-Update ty le'!$E$17,IF(AB8&gt;'2.1 KT-Update ty le'!$A$15, AB8*'2.1 KT-Update ty le'!$B$16-'2.1 KT-Update ty le'!$E$16,IF(AB8&gt;'2.1 KT-Update ty le'!$A$14, AB8*'2.1 KT-Update ty le'!$B$15-'2.1 KT-Update ty le'!$E$15,IF(AB8&gt;'2.1 KT-Update ty le'!$A$13, AB8*'2.1 KT-Update ty le'!$B$14-'2.1 KT-Update ty le'!$E$14,IF(AB8&gt;'2.1 KT-Update ty le'!$A$12, AB8*'2.1 KT-Update ty le'!$B$13-'2.1 KT-Update ty le'!$E$13,IF(AB8&gt;'2.1 KT-Update ty le'!$A$11, AB8*'2.1 KT-Update ty le'!$B$12-'2.1 KT-Update ty le'!$E$12,IF(AB8&gt;0, AB8*'2.1 KT-Update ty le'!$B$11,0)))))))</f>
        <v>1506966.666666666</v>
      </c>
      <c r="AD8" s="99">
        <f>VLOOKUP(C8,'2.3 KT-GIAM TRU'!C:V,18,0)</f>
        <v>0</v>
      </c>
      <c r="AE8" s="99">
        <f>VLOOKUP(C8,'2.3 KT-GIAM TRU'!C:V,19,0)</f>
        <v>0</v>
      </c>
      <c r="AF8" s="105">
        <f t="shared" ref="AF8:AF16" si="5">IF(AE8&gt;0,AE8,AC8-AD8)</f>
        <v>1506966.666666666</v>
      </c>
    </row>
    <row r="9" spans="1:32" x14ac:dyDescent="0.25">
      <c r="A9" s="89" t="s">
        <v>302</v>
      </c>
      <c r="B9" s="89">
        <v>3</v>
      </c>
      <c r="C9" s="89" t="str">
        <f>VLOOKUP(B9,'1.2 HR-Data luong'!A:B,2,0)</f>
        <v>ADS03</v>
      </c>
      <c r="D9" s="89" t="str">
        <f>VLOOKUP($C9,'1.2 HR-Data luong'!$B:$BG,D$6,0)</f>
        <v>BD02 HN</v>
      </c>
      <c r="E9" s="89" t="str">
        <f>VLOOKUP($C9,'1.2 HR-Data luong'!$B:$BG,E$6,0)</f>
        <v>NguyenVanC</v>
      </c>
      <c r="F9" s="89" t="str">
        <f>VLOOKUP($C9,'1.2 HR-Data luong'!$B:$BG,F$6,0)</f>
        <v>Nguyễn Văn C</v>
      </c>
      <c r="G9" s="89" t="str">
        <f>VLOOKUP($C9,'1.2 HR-Data luong'!$B:$BG,G$6,0)</f>
        <v>HN</v>
      </c>
      <c r="H9" s="89" t="str">
        <f>VLOOKUP($C9,'1.2 HR-Data luong'!$B:$BG,H$6,0)</f>
        <v>Trưởng phòng</v>
      </c>
      <c r="I9" s="89" t="str">
        <f>VLOOKUP($C9,'1.2 HR-Data luong'!$B:$BG,I$6,0)</f>
        <v>TP C2</v>
      </c>
      <c r="J9" s="89" t="str">
        <f>VLOOKUP($C9,'1.2 HR-Data luong'!$B:$BG,J$6,0)</f>
        <v>CT</v>
      </c>
      <c r="K9" s="99">
        <f>VLOOKUP(C9,'4. ERP-BANG LUONG'!D:AH,31,0)</f>
        <v>86948666.666666657</v>
      </c>
      <c r="L9" s="99">
        <v>600000</v>
      </c>
      <c r="M9">
        <f>VLOOKUP(C9,'1.2 HR-Data luong'!B:AC,'1.2 HR-Data luong'!R$5,0)</f>
        <v>20.5</v>
      </c>
      <c r="N9">
        <v>22.5</v>
      </c>
      <c r="O9" s="105">
        <f t="shared" si="0"/>
        <v>546666.66666666674</v>
      </c>
      <c r="P9" s="99">
        <f>VLOOKUP(C9,'2.2 KT-THUONG'!C:R,15,0)</f>
        <v>50000000</v>
      </c>
      <c r="Q9" s="99">
        <f>VLOOKUP(C9,'2.2 KT-THUONG'!C:R,16,0)</f>
        <v>0</v>
      </c>
      <c r="R9">
        <f>VLOOKUP(C9,'4. ERP-BANG LUONG'!D:AG,29,0)</f>
        <v>0</v>
      </c>
      <c r="S9" s="99">
        <f>VLOOKUP(C9,'2.3 KT-GIAM TRU'!C:U,17,0)</f>
        <v>0</v>
      </c>
      <c r="T9" s="99">
        <f>VLOOKUP(C9,'3.4 ERP-BHXH'!C:X,18,0)</f>
        <v>240000</v>
      </c>
      <c r="U9" s="99">
        <f>VLOOKUP(C9,'3.4 ERP-BHXH'!C:X,19,0)</f>
        <v>45000</v>
      </c>
      <c r="V9">
        <f>VLOOKUP(C9,'3.4 ERP-BHXH'!C:X,20,0)</f>
        <v>30000</v>
      </c>
      <c r="W9" s="99"/>
      <c r="X9" s="99">
        <f t="shared" si="1"/>
        <v>9000000</v>
      </c>
      <c r="Y9">
        <f>VLOOKUP(C9,'2.3 KT-GIAM TRU'!C:V,20,0)</f>
        <v>0</v>
      </c>
      <c r="Z9" s="99">
        <f t="shared" si="2"/>
        <v>0</v>
      </c>
      <c r="AA9" s="152">
        <f t="shared" si="3"/>
        <v>9000000</v>
      </c>
      <c r="AB9" s="132">
        <f t="shared" si="4"/>
        <v>27086999.999999993</v>
      </c>
      <c r="AC9" s="152">
        <f>IF(AB9&gt;'2.1 KT-Update ty le'!$A$16,AB9*'2.1 KT-Update ty le'!$B$17-'2.1 KT-Update ty le'!$E$17,IF(AB9&gt;'2.1 KT-Update ty le'!$A$15, AB9*'2.1 KT-Update ty le'!$B$16-'2.1 KT-Update ty le'!$E$16,IF(AB9&gt;'2.1 KT-Update ty le'!$A$14, AB9*'2.1 KT-Update ty le'!$B$15-'2.1 KT-Update ty le'!$E$15,IF(AB9&gt;'2.1 KT-Update ty le'!$A$13, AB9*'2.1 KT-Update ty le'!$B$14-'2.1 KT-Update ty le'!$E$14,IF(AB9&gt;'2.1 KT-Update ty le'!$A$12, AB9*'2.1 KT-Update ty le'!$B$13-'2.1 KT-Update ty le'!$E$13,IF(AB9&gt;'2.1 KT-Update ty le'!$A$11, AB9*'2.1 KT-Update ty le'!$B$12-'2.1 KT-Update ty le'!$E$12,IF(AB9&gt;0, AB9*'2.1 KT-Update ty le'!$B$11,0)))))))</f>
        <v>3767399.9999999991</v>
      </c>
      <c r="AD9" s="99">
        <f>VLOOKUP(C9,'2.3 KT-GIAM TRU'!C:V,18,0)</f>
        <v>1000000</v>
      </c>
      <c r="AE9" s="99">
        <f>VLOOKUP(C9,'2.3 KT-GIAM TRU'!C:V,19,0)</f>
        <v>0</v>
      </c>
      <c r="AF9" s="105">
        <f t="shared" si="5"/>
        <v>2767399.9999999991</v>
      </c>
    </row>
    <row r="10" spans="1:32" x14ac:dyDescent="0.25">
      <c r="A10" s="89" t="s">
        <v>302</v>
      </c>
      <c r="B10" s="89">
        <v>4</v>
      </c>
      <c r="C10" s="89" t="str">
        <f>VLOOKUP(B10,'1.2 HR-Data luong'!A:B,2,0)</f>
        <v>ADS04</v>
      </c>
      <c r="D10" s="89" t="str">
        <f>VLOOKUP($C10,'1.2 HR-Data luong'!$B:$BG,D$6,0)</f>
        <v>BD02 HN</v>
      </c>
      <c r="E10" s="89" t="str">
        <f>VLOOKUP($C10,'1.2 HR-Data luong'!$B:$BG,E$6,0)</f>
        <v>NguyenVanD</v>
      </c>
      <c r="F10" s="89" t="str">
        <f>VLOOKUP($C10,'1.2 HR-Data luong'!$B:$BG,F$6,0)</f>
        <v>Nguyễn Văn D</v>
      </c>
      <c r="G10" s="89" t="str">
        <f>VLOOKUP($C10,'1.2 HR-Data luong'!$B:$BG,G$6,0)</f>
        <v>HN</v>
      </c>
      <c r="H10" s="89" t="str">
        <f>VLOOKUP($C10,'1.2 HR-Data luong'!$B:$BG,H$6,0)</f>
        <v>Nhân viên</v>
      </c>
      <c r="I10" s="89" t="str">
        <f>VLOOKUP($C10,'1.2 HR-Data luong'!$B:$BG,I$6,0)</f>
        <v>C2</v>
      </c>
      <c r="J10" s="89" t="str">
        <f>VLOOKUP($C10,'1.2 HR-Data luong'!$B:$BG,J$6,0)</f>
        <v>CT</v>
      </c>
      <c r="K10" s="99">
        <f>VLOOKUP(C10,'4. ERP-BANG LUONG'!D:AH,31,0)</f>
        <v>99112444.444444448</v>
      </c>
      <c r="L10" s="99">
        <v>600000</v>
      </c>
      <c r="M10">
        <f>VLOOKUP(C10,'1.2 HR-Data luong'!B:AC,'1.2 HR-Data luong'!R$5,0)</f>
        <v>20.5</v>
      </c>
      <c r="N10">
        <v>22.5</v>
      </c>
      <c r="O10" s="105">
        <f t="shared" si="0"/>
        <v>546666.66666666674</v>
      </c>
      <c r="P10" s="99">
        <f>VLOOKUP(C10,'2.2 KT-THUONG'!C:R,15,0)</f>
        <v>50000000</v>
      </c>
      <c r="Q10" s="99">
        <f>VLOOKUP(C10,'2.2 KT-THUONG'!C:R,16,0)</f>
        <v>0</v>
      </c>
      <c r="R10">
        <f>VLOOKUP(C10,'4. ERP-BANG LUONG'!D:AG,29,0)</f>
        <v>0</v>
      </c>
      <c r="S10" s="99">
        <f>VLOOKUP(C10,'2.3 KT-GIAM TRU'!C:U,17,0)</f>
        <v>0</v>
      </c>
      <c r="T10" s="99">
        <f>VLOOKUP(C10,'3.4 ERP-BHXH'!C:X,18,0)</f>
        <v>320000</v>
      </c>
      <c r="U10" s="99">
        <f>VLOOKUP(C10,'3.4 ERP-BHXH'!C:X,19,0)</f>
        <v>60000</v>
      </c>
      <c r="V10">
        <f>VLOOKUP(C10,'3.4 ERP-BHXH'!C:X,20,0)</f>
        <v>40000</v>
      </c>
      <c r="W10" s="99"/>
      <c r="X10" s="99">
        <f t="shared" si="1"/>
        <v>9000000</v>
      </c>
      <c r="Y10">
        <f>VLOOKUP(C10,'2.3 KT-GIAM TRU'!C:V,20,0)</f>
        <v>0</v>
      </c>
      <c r="Z10" s="99">
        <f t="shared" si="2"/>
        <v>0</v>
      </c>
      <c r="AA10" s="152">
        <f t="shared" si="3"/>
        <v>9000000</v>
      </c>
      <c r="AB10" s="132">
        <f t="shared" si="4"/>
        <v>39145777.777777784</v>
      </c>
      <c r="AC10" s="152">
        <f>IF(AB10&gt;'2.1 KT-Update ty le'!$A$16,AB10*'2.1 KT-Update ty le'!$B$17-'2.1 KT-Update ty le'!$E$17,IF(AB10&gt;'2.1 KT-Update ty le'!$A$15, AB10*'2.1 KT-Update ty le'!$B$16-'2.1 KT-Update ty le'!$E$16,IF(AB10&gt;'2.1 KT-Update ty le'!$A$14, AB10*'2.1 KT-Update ty le'!$B$15-'2.1 KT-Update ty le'!$E$15,IF(AB10&gt;'2.1 KT-Update ty le'!$A$13, AB10*'2.1 KT-Update ty le'!$B$14-'2.1 KT-Update ty le'!$E$14,IF(AB10&gt;'2.1 KT-Update ty le'!$A$12, AB10*'2.1 KT-Update ty le'!$B$13-'2.1 KT-Update ty le'!$E$13,IF(AB10&gt;'2.1 KT-Update ty le'!$A$11, AB10*'2.1 KT-Update ty le'!$B$12-'2.1 KT-Update ty le'!$E$12,IF(AB10&gt;0, AB10*'2.1 KT-Update ty le'!$B$11,0)))))))</f>
        <v>6536444.4444444459</v>
      </c>
      <c r="AD10" s="99">
        <f>VLOOKUP(C10,'2.3 KT-GIAM TRU'!C:V,18,0)</f>
        <v>0</v>
      </c>
      <c r="AE10" s="99">
        <f>VLOOKUP(C10,'2.3 KT-GIAM TRU'!C:V,19,0)</f>
        <v>0</v>
      </c>
      <c r="AF10" s="105">
        <f t="shared" si="5"/>
        <v>6536444.4444444459</v>
      </c>
    </row>
    <row r="11" spans="1:32" x14ac:dyDescent="0.25">
      <c r="A11" s="89" t="s">
        <v>302</v>
      </c>
      <c r="B11" s="89">
        <v>5</v>
      </c>
      <c r="C11" s="89" t="str">
        <f>VLOOKUP(B11,'1.2 HR-Data luong'!A:B,2,0)</f>
        <v>ADS05</v>
      </c>
      <c r="D11" s="89" t="str">
        <f>VLOOKUP($C11,'1.2 HR-Data luong'!$B:$BG,D$6,0)</f>
        <v>BD02 HN</v>
      </c>
      <c r="E11" s="89" t="str">
        <f>VLOOKUP($C11,'1.2 HR-Data luong'!$B:$BG,E$6,0)</f>
        <v>NguyenVanE</v>
      </c>
      <c r="F11" s="89" t="str">
        <f>VLOOKUP($C11,'1.2 HR-Data luong'!$B:$BG,F$6,0)</f>
        <v>Nguyễn Văn E</v>
      </c>
      <c r="G11" s="89" t="str">
        <f>VLOOKUP($C11,'1.2 HR-Data luong'!$B:$BG,G$6,0)</f>
        <v>HN</v>
      </c>
      <c r="H11" s="89" t="str">
        <f>VLOOKUP($C11,'1.2 HR-Data luong'!$B:$BG,H$6,0)</f>
        <v>Nhân viên</v>
      </c>
      <c r="I11" s="89" t="str">
        <f>VLOOKUP($C11,'1.2 HR-Data luong'!$B:$BG,I$6,0)</f>
        <v>C3</v>
      </c>
      <c r="J11" s="89" t="str">
        <f>VLOOKUP($C11,'1.2 HR-Data luong'!$B:$BG,J$6,0)</f>
        <v>CT</v>
      </c>
      <c r="K11" s="99">
        <f>VLOOKUP(C11,'4. ERP-BANG LUONG'!D:AH,31,0)</f>
        <v>116275901.23456791</v>
      </c>
      <c r="L11" s="99">
        <v>600000</v>
      </c>
      <c r="M11">
        <f>VLOOKUP(C11,'1.2 HR-Data luong'!B:AC,'1.2 HR-Data luong'!R$5,0)</f>
        <v>20.5</v>
      </c>
      <c r="N11">
        <v>22.5</v>
      </c>
      <c r="O11" s="105">
        <f t="shared" si="0"/>
        <v>546666.66666666674</v>
      </c>
      <c r="P11" s="99">
        <f>VLOOKUP(C11,'2.2 KT-THUONG'!C:R,15,0)</f>
        <v>50000000</v>
      </c>
      <c r="Q11" s="99">
        <f>VLOOKUP(C11,'2.2 KT-THUONG'!C:R,16,0)</f>
        <v>0</v>
      </c>
      <c r="R11">
        <f>VLOOKUP(C11,'4. ERP-BANG LUONG'!D:AG,29,0)</f>
        <v>0</v>
      </c>
      <c r="S11" s="99">
        <f>VLOOKUP(C11,'2.3 KT-GIAM TRU'!C:U,17,0)</f>
        <v>0</v>
      </c>
      <c r="T11" s="99">
        <f>VLOOKUP(C11,'3.4 ERP-BHXH'!C:X,18,0)</f>
        <v>480000</v>
      </c>
      <c r="U11" s="99">
        <f>VLOOKUP(C11,'3.4 ERP-BHXH'!C:X,19,0)</f>
        <v>90000</v>
      </c>
      <c r="V11">
        <f>VLOOKUP(C11,'3.4 ERP-BHXH'!C:X,20,0)</f>
        <v>60000</v>
      </c>
      <c r="W11" s="99"/>
      <c r="X11" s="99">
        <f t="shared" si="1"/>
        <v>9000000</v>
      </c>
      <c r="Y11">
        <f>VLOOKUP(C11,'2.3 KT-GIAM TRU'!C:V,20,0)</f>
        <v>0</v>
      </c>
      <c r="Z11" s="99">
        <f t="shared" si="2"/>
        <v>0</v>
      </c>
      <c r="AA11" s="152">
        <f t="shared" si="3"/>
        <v>9000000</v>
      </c>
      <c r="AB11" s="132">
        <f t="shared" si="4"/>
        <v>56099234.567901246</v>
      </c>
      <c r="AC11" s="152">
        <f>IF(AB11&gt;'2.1 KT-Update ty le'!$A$16,AB11*'2.1 KT-Update ty le'!$B$17-'2.1 KT-Update ty le'!$E$17,IF(AB11&gt;'2.1 KT-Update ty le'!$A$15, AB11*'2.1 KT-Update ty le'!$B$16-'2.1 KT-Update ty le'!$E$16,IF(AB11&gt;'2.1 KT-Update ty le'!$A$14, AB11*'2.1 KT-Update ty le'!$B$15-'2.1 KT-Update ty le'!$E$15,IF(AB11&gt;'2.1 KT-Update ty le'!$A$13, AB11*'2.1 KT-Update ty le'!$B$14-'2.1 KT-Update ty le'!$E$14,IF(AB11&gt;'2.1 KT-Update ty le'!$A$12, AB11*'2.1 KT-Update ty le'!$B$13-'2.1 KT-Update ty le'!$E$13,IF(AB11&gt;'2.1 KT-Update ty le'!$A$11, AB11*'2.1 KT-Update ty le'!$B$12-'2.1 KT-Update ty le'!$E$12,IF(AB11&gt;0, AB11*'2.1 KT-Update ty le'!$B$11,0)))))))</f>
        <v>10979770.370370373</v>
      </c>
      <c r="AD11" s="99">
        <f>VLOOKUP(C11,'2.3 KT-GIAM TRU'!C:V,18,0)</f>
        <v>0</v>
      </c>
      <c r="AE11" s="99">
        <f>VLOOKUP(C11,'2.3 KT-GIAM TRU'!C:V,19,0)</f>
        <v>0</v>
      </c>
      <c r="AF11" s="105">
        <f t="shared" si="5"/>
        <v>10979770.370370373</v>
      </c>
    </row>
    <row r="12" spans="1:32" x14ac:dyDescent="0.25">
      <c r="A12" s="89" t="s">
        <v>302</v>
      </c>
      <c r="B12" s="89">
        <v>6</v>
      </c>
      <c r="C12" s="89" t="str">
        <f>VLOOKUP(B12,'1.2 HR-Data luong'!A:B,2,0)</f>
        <v>ADS06</v>
      </c>
      <c r="D12" s="89" t="str">
        <f>VLOOKUP($C12,'1.2 HR-Data luong'!$B:$BG,D$6,0)</f>
        <v>BD03 SG</v>
      </c>
      <c r="E12" s="89" t="str">
        <f>VLOOKUP($C12,'1.2 HR-Data luong'!$B:$BG,E$6,0)</f>
        <v>NguyenVanF</v>
      </c>
      <c r="F12" s="89" t="str">
        <f>VLOOKUP($C12,'1.2 HR-Data luong'!$B:$BG,F$6,0)</f>
        <v>Nguyễn Văn F</v>
      </c>
      <c r="G12" s="89" t="str">
        <f>VLOOKUP($C12,'1.2 HR-Data luong'!$B:$BG,G$6,0)</f>
        <v>HCM</v>
      </c>
      <c r="H12" s="89" t="str">
        <f>VLOOKUP($C12,'1.2 HR-Data luong'!$B:$BG,H$6,0)</f>
        <v>Trưởng phòng</v>
      </c>
      <c r="I12" s="89" t="str">
        <f>VLOOKUP($C12,'1.2 HR-Data luong'!$B:$BG,I$6,0)</f>
        <v>TP C3</v>
      </c>
      <c r="J12" s="89" t="str">
        <f>VLOOKUP($C12,'1.2 HR-Data luong'!$B:$BG,J$6,0)</f>
        <v>CT</v>
      </c>
      <c r="K12" s="99">
        <f>VLOOKUP(C12,'4. ERP-BANG LUONG'!D:AH,31,0)</f>
        <v>123660000</v>
      </c>
      <c r="L12" s="99">
        <v>600000</v>
      </c>
      <c r="M12">
        <f>VLOOKUP(C12,'1.2 HR-Data luong'!B:AC,'1.2 HR-Data luong'!R$5,0)</f>
        <v>22.5</v>
      </c>
      <c r="N12">
        <v>22.5</v>
      </c>
      <c r="O12" s="105">
        <f t="shared" si="0"/>
        <v>600000</v>
      </c>
      <c r="P12" s="99">
        <f>VLOOKUP(C12,'2.2 KT-THUONG'!C:R,15,0)</f>
        <v>50000000</v>
      </c>
      <c r="Q12" s="99">
        <f>VLOOKUP(C12,'2.2 KT-THUONG'!C:R,16,0)</f>
        <v>0</v>
      </c>
      <c r="R12">
        <f>VLOOKUP(C12,'4. ERP-BANG LUONG'!D:AG,29,0)</f>
        <v>0</v>
      </c>
      <c r="S12" s="99">
        <f>VLOOKUP(C12,'2.3 KT-GIAM TRU'!C:U,17,0)</f>
        <v>0</v>
      </c>
      <c r="T12" s="99">
        <f>VLOOKUP(C12,'3.4 ERP-BHXH'!C:X,18,0)</f>
        <v>480000</v>
      </c>
      <c r="U12" s="99">
        <f>VLOOKUP(C12,'3.4 ERP-BHXH'!C:X,19,0)</f>
        <v>90000</v>
      </c>
      <c r="V12">
        <f>VLOOKUP(C12,'3.4 ERP-BHXH'!C:X,20,0)</f>
        <v>60000</v>
      </c>
      <c r="W12" s="99"/>
      <c r="X12" s="99">
        <f t="shared" si="1"/>
        <v>9000000</v>
      </c>
      <c r="Y12">
        <f>VLOOKUP(C12,'2.3 KT-GIAM TRU'!C:V,20,0)</f>
        <v>0</v>
      </c>
      <c r="Z12" s="99">
        <f t="shared" si="2"/>
        <v>0</v>
      </c>
      <c r="AA12" s="152">
        <f t="shared" si="3"/>
        <v>9000000</v>
      </c>
      <c r="AB12" s="132">
        <f t="shared" si="4"/>
        <v>63430000</v>
      </c>
      <c r="AC12" s="152">
        <f>IF(AB12&gt;'2.1 KT-Update ty le'!$A$16,AB12*'2.1 KT-Update ty le'!$B$17-'2.1 KT-Update ty le'!$E$17,IF(AB12&gt;'2.1 KT-Update ty le'!$A$15, AB12*'2.1 KT-Update ty le'!$B$16-'2.1 KT-Update ty le'!$E$16,IF(AB12&gt;'2.1 KT-Update ty le'!$A$14, AB12*'2.1 KT-Update ty le'!$B$15-'2.1 KT-Update ty le'!$E$15,IF(AB12&gt;'2.1 KT-Update ty le'!$A$13, AB12*'2.1 KT-Update ty le'!$B$14-'2.1 KT-Update ty le'!$E$14,IF(AB12&gt;'2.1 KT-Update ty le'!$A$12, AB12*'2.1 KT-Update ty le'!$B$13-'2.1 KT-Update ty le'!$E$13,IF(AB12&gt;'2.1 KT-Update ty le'!$A$11, AB12*'2.1 KT-Update ty le'!$B$12-'2.1 KT-Update ty le'!$E$12,IF(AB12&gt;0, AB12*'2.1 KT-Update ty le'!$B$11,0)))))))</f>
        <v>13179000</v>
      </c>
      <c r="AD12" s="99">
        <f>VLOOKUP(C12,'2.3 KT-GIAM TRU'!C:V,18,0)</f>
        <v>0</v>
      </c>
      <c r="AE12" s="99">
        <f>VLOOKUP(C12,'2.3 KT-GIAM TRU'!C:V,19,0)</f>
        <v>0</v>
      </c>
      <c r="AF12" s="105">
        <f t="shared" si="5"/>
        <v>13179000</v>
      </c>
    </row>
    <row r="13" spans="1:32" x14ac:dyDescent="0.25">
      <c r="A13" s="89" t="s">
        <v>302</v>
      </c>
      <c r="B13" s="89">
        <v>7</v>
      </c>
      <c r="C13" s="89" t="str">
        <f>VLOOKUP(B13,'1.2 HR-Data luong'!A:B,2,0)</f>
        <v>ADS07</v>
      </c>
      <c r="D13" s="89" t="str">
        <f>VLOOKUP($C13,'1.2 HR-Data luong'!$B:$BG,D$6,0)</f>
        <v>BD03 SG</v>
      </c>
      <c r="E13" s="89" t="str">
        <f>VLOOKUP($C13,'1.2 HR-Data luong'!$B:$BG,E$6,0)</f>
        <v>NguyenVanG</v>
      </c>
      <c r="F13" s="89" t="str">
        <f>VLOOKUP($C13,'1.2 HR-Data luong'!$B:$BG,F$6,0)</f>
        <v>Nguyễn Văn G</v>
      </c>
      <c r="G13" s="89" t="str">
        <f>VLOOKUP($C13,'1.2 HR-Data luong'!$B:$BG,G$6,0)</f>
        <v>HCM</v>
      </c>
      <c r="H13" s="89" t="str">
        <f>VLOOKUP($C13,'1.2 HR-Data luong'!$B:$BG,H$6,0)</f>
        <v>Nhân viên</v>
      </c>
      <c r="I13" s="89" t="str">
        <f>VLOOKUP($C13,'1.2 HR-Data luong'!$B:$BG,I$6,0)</f>
        <v>C4</v>
      </c>
      <c r="J13" s="89" t="str">
        <f>VLOOKUP($C13,'1.2 HR-Data luong'!$B:$BG,J$6,0)</f>
        <v>CT</v>
      </c>
      <c r="K13" s="99">
        <f>VLOOKUP(C13,'4. ERP-BANG LUONG'!D:AH,31,0)</f>
        <v>135890000</v>
      </c>
      <c r="L13" s="99">
        <v>600000</v>
      </c>
      <c r="M13">
        <f>VLOOKUP(C13,'1.2 HR-Data luong'!B:AC,'1.2 HR-Data luong'!R$5,0)</f>
        <v>22.5</v>
      </c>
      <c r="N13">
        <v>22.5</v>
      </c>
      <c r="O13" s="105">
        <f t="shared" si="0"/>
        <v>600000</v>
      </c>
      <c r="P13" s="99">
        <f>VLOOKUP(C13,'2.2 KT-THUONG'!C:R,15,0)</f>
        <v>50000000</v>
      </c>
      <c r="Q13" s="99">
        <f>VLOOKUP(C13,'2.2 KT-THUONG'!C:R,16,0)</f>
        <v>0</v>
      </c>
      <c r="R13">
        <f>VLOOKUP(C13,'4. ERP-BANG LUONG'!D:AG,29,0)</f>
        <v>0</v>
      </c>
      <c r="S13" s="99">
        <f>VLOOKUP(C13,'2.3 KT-GIAM TRU'!C:U,17,0)</f>
        <v>0</v>
      </c>
      <c r="T13" s="99">
        <f>VLOOKUP(C13,'3.4 ERP-BHXH'!C:X,18,0)</f>
        <v>560000</v>
      </c>
      <c r="U13" s="99">
        <f>VLOOKUP(C13,'3.4 ERP-BHXH'!C:X,19,0)</f>
        <v>105000</v>
      </c>
      <c r="V13">
        <f>VLOOKUP(C13,'3.4 ERP-BHXH'!C:X,20,0)</f>
        <v>70000</v>
      </c>
      <c r="W13" s="99"/>
      <c r="X13" s="99">
        <f t="shared" si="1"/>
        <v>9000000</v>
      </c>
      <c r="Y13">
        <f>VLOOKUP(C13,'2.3 KT-GIAM TRU'!C:V,20,0)</f>
        <v>0</v>
      </c>
      <c r="Z13" s="99">
        <f t="shared" si="2"/>
        <v>0</v>
      </c>
      <c r="AA13" s="152">
        <f t="shared" si="3"/>
        <v>9000000</v>
      </c>
      <c r="AB13" s="132">
        <f t="shared" si="4"/>
        <v>75555000</v>
      </c>
      <c r="AC13" s="152">
        <f>IF(AB13&gt;'2.1 KT-Update ty le'!$A$16,AB13*'2.1 KT-Update ty le'!$B$17-'2.1 KT-Update ty le'!$E$17,IF(AB13&gt;'2.1 KT-Update ty le'!$A$15, AB13*'2.1 KT-Update ty le'!$B$16-'2.1 KT-Update ty le'!$E$16,IF(AB13&gt;'2.1 KT-Update ty le'!$A$14, AB13*'2.1 KT-Update ty le'!$B$15-'2.1 KT-Update ty le'!$E$15,IF(AB13&gt;'2.1 KT-Update ty le'!$A$13, AB13*'2.1 KT-Update ty le'!$B$14-'2.1 KT-Update ty le'!$E$14,IF(AB13&gt;'2.1 KT-Update ty le'!$A$12, AB13*'2.1 KT-Update ty le'!$B$13-'2.1 KT-Update ty le'!$E$13,IF(AB13&gt;'2.1 KT-Update ty le'!$A$11, AB13*'2.1 KT-Update ty le'!$B$12-'2.1 KT-Update ty le'!$E$12,IF(AB13&gt;0, AB13*'2.1 KT-Update ty le'!$B$11,0)))))))</f>
        <v>16816500</v>
      </c>
      <c r="AD13" s="99">
        <f>VLOOKUP(C13,'2.3 KT-GIAM TRU'!C:V,18,0)</f>
        <v>0</v>
      </c>
      <c r="AE13" s="99">
        <f>VLOOKUP(C13,'2.3 KT-GIAM TRU'!C:V,19,0)</f>
        <v>0</v>
      </c>
      <c r="AF13" s="105">
        <f t="shared" si="5"/>
        <v>16816500</v>
      </c>
    </row>
    <row r="14" spans="1:32" x14ac:dyDescent="0.25">
      <c r="A14" s="89" t="s">
        <v>302</v>
      </c>
      <c r="B14" s="89">
        <v>8</v>
      </c>
      <c r="C14" s="89" t="str">
        <f>VLOOKUP(B14,'1.2 HR-Data luong'!A:B,2,0)</f>
        <v>ADS08</v>
      </c>
      <c r="D14" s="89" t="str">
        <f>VLOOKUP($C14,'1.2 HR-Data luong'!$B:$BG,D$6,0)</f>
        <v>BD03 SG</v>
      </c>
      <c r="E14" s="89" t="str">
        <f>VLOOKUP($C14,'1.2 HR-Data luong'!$B:$BG,E$6,0)</f>
        <v>NguyenVanH</v>
      </c>
      <c r="F14" s="89" t="str">
        <f>VLOOKUP($C14,'1.2 HR-Data luong'!$B:$BG,F$6,0)</f>
        <v>Nguyễn Văn H</v>
      </c>
      <c r="G14" s="89" t="str">
        <f>VLOOKUP($C14,'1.2 HR-Data luong'!$B:$BG,G$6,0)</f>
        <v>HCM</v>
      </c>
      <c r="H14" s="89" t="str">
        <f>VLOOKUP($C14,'1.2 HR-Data luong'!$B:$BG,H$6,0)</f>
        <v>Nhân viên</v>
      </c>
      <c r="I14" s="89" t="str">
        <f>VLOOKUP($C14,'1.2 HR-Data luong'!$B:$BG,I$6,0)</f>
        <v>S1</v>
      </c>
      <c r="J14" s="89" t="str">
        <f>VLOOKUP($C14,'1.2 HR-Data luong'!$B:$BG,J$6,0)</f>
        <v>CT</v>
      </c>
      <c r="K14" s="99">
        <f>VLOOKUP(C14,'4. ERP-BANG LUONG'!D:AH,31,0)</f>
        <v>149386666.66666669</v>
      </c>
      <c r="L14" s="99">
        <v>600000</v>
      </c>
      <c r="M14">
        <f>VLOOKUP(C14,'1.2 HR-Data luong'!B:AC,'1.2 HR-Data luong'!R$5,0)</f>
        <v>22.5</v>
      </c>
      <c r="N14">
        <v>22.5</v>
      </c>
      <c r="O14" s="105">
        <f t="shared" si="0"/>
        <v>600000</v>
      </c>
      <c r="P14" s="99">
        <f>VLOOKUP(C14,'2.2 KT-THUONG'!C:R,15,0)</f>
        <v>50000000</v>
      </c>
      <c r="Q14" s="99">
        <f>VLOOKUP(C14,'2.2 KT-THUONG'!C:R,16,0)</f>
        <v>0</v>
      </c>
      <c r="R14">
        <f>VLOOKUP(C14,'4. ERP-BANG LUONG'!D:AG,29,0)</f>
        <v>0</v>
      </c>
      <c r="S14" s="99">
        <f>VLOOKUP(C14,'2.3 KT-GIAM TRU'!C:U,17,0)</f>
        <v>0</v>
      </c>
      <c r="T14" s="99">
        <f>VLOOKUP(C14,'3.4 ERP-BHXH'!C:X,18,0)</f>
        <v>800000</v>
      </c>
      <c r="U14" s="99">
        <f>VLOOKUP(C14,'3.4 ERP-BHXH'!C:X,19,0)</f>
        <v>150000</v>
      </c>
      <c r="V14">
        <f>VLOOKUP(C14,'3.4 ERP-BHXH'!C:X,20,0)</f>
        <v>100000</v>
      </c>
      <c r="W14" s="99"/>
      <c r="X14" s="99">
        <f t="shared" si="1"/>
        <v>9000000</v>
      </c>
      <c r="Y14">
        <f>VLOOKUP(C14,'2.3 KT-GIAM TRU'!C:V,20,0)</f>
        <v>0</v>
      </c>
      <c r="Z14" s="99">
        <f t="shared" si="2"/>
        <v>0</v>
      </c>
      <c r="AA14" s="152">
        <f t="shared" si="3"/>
        <v>9000000</v>
      </c>
      <c r="AB14" s="132">
        <f t="shared" si="4"/>
        <v>88736666.666666687</v>
      </c>
      <c r="AC14" s="152">
        <f>IF(AB14&gt;'2.1 KT-Update ty le'!$A$16,AB14*'2.1 KT-Update ty le'!$B$17-'2.1 KT-Update ty le'!$E$17,IF(AB14&gt;'2.1 KT-Update ty le'!$A$15, AB14*'2.1 KT-Update ty le'!$B$16-'2.1 KT-Update ty le'!$E$16,IF(AB14&gt;'2.1 KT-Update ty le'!$A$14, AB14*'2.1 KT-Update ty le'!$B$15-'2.1 KT-Update ty le'!$E$15,IF(AB14&gt;'2.1 KT-Update ty le'!$A$13, AB14*'2.1 KT-Update ty le'!$B$14-'2.1 KT-Update ty le'!$E$14,IF(AB14&gt;'2.1 KT-Update ty le'!$A$12, AB14*'2.1 KT-Update ty le'!$B$13-'2.1 KT-Update ty le'!$E$13,IF(AB14&gt;'2.1 KT-Update ty le'!$A$11, AB14*'2.1 KT-Update ty le'!$B$12-'2.1 KT-Update ty le'!$E$12,IF(AB14&gt;0, AB14*'2.1 KT-Update ty le'!$B$11,0)))))))</f>
        <v>21207833.33333334</v>
      </c>
      <c r="AD14" s="99">
        <f>VLOOKUP(C14,'2.3 KT-GIAM TRU'!C:V,18,0)</f>
        <v>0</v>
      </c>
      <c r="AE14" s="99">
        <f>VLOOKUP(C14,'2.3 KT-GIAM TRU'!C:V,19,0)</f>
        <v>2000000</v>
      </c>
      <c r="AF14" s="105">
        <f t="shared" si="5"/>
        <v>2000000</v>
      </c>
    </row>
    <row r="15" spans="1:32" x14ac:dyDescent="0.25">
      <c r="A15" s="89" t="s">
        <v>302</v>
      </c>
      <c r="B15" s="89">
        <v>9</v>
      </c>
      <c r="C15" s="89" t="str">
        <f>VLOOKUP(B15,'1.2 HR-Data luong'!A:B,2,0)</f>
        <v>ADS09</v>
      </c>
      <c r="D15" s="89" t="str">
        <f>VLOOKUP($C15,'1.2 HR-Data luong'!$B:$BG,D$6,0)</f>
        <v>HR HN</v>
      </c>
      <c r="E15" s="89" t="str">
        <f>VLOOKUP($C15,'1.2 HR-Data luong'!$B:$BG,E$6,0)</f>
        <v>NguyenVanI</v>
      </c>
      <c r="F15" s="89" t="str">
        <f>VLOOKUP($C15,'1.2 HR-Data luong'!$B:$BG,F$6,0)</f>
        <v>Nguyễn Văn I</v>
      </c>
      <c r="G15" s="89" t="str">
        <f>VLOOKUP($C15,'1.2 HR-Data luong'!$B:$BG,G$6,0)</f>
        <v>HN</v>
      </c>
      <c r="H15" s="89" t="str">
        <f>VLOOKUP($C15,'1.2 HR-Data luong'!$B:$BG,H$6,0)</f>
        <v>Trưởng phòng</v>
      </c>
      <c r="I15" s="89" t="str">
        <f>VLOOKUP($C15,'1.2 HR-Data luong'!$B:$BG,I$6,0)</f>
        <v>TP KPC</v>
      </c>
      <c r="J15" s="89" t="str">
        <f>VLOOKUP($C15,'1.2 HR-Data luong'!$B:$BG,J$6,0)</f>
        <v>CT</v>
      </c>
      <c r="K15" s="99">
        <f>VLOOKUP(C15,'4. ERP-BANG LUONG'!D:AH,31,0)</f>
        <v>160410000</v>
      </c>
      <c r="L15" s="99">
        <v>600000</v>
      </c>
      <c r="M15">
        <f>VLOOKUP(C15,'1.2 HR-Data luong'!B:AC,'1.2 HR-Data luong'!R$5,0)</f>
        <v>22.5</v>
      </c>
      <c r="N15">
        <v>22.5</v>
      </c>
      <c r="O15" s="105">
        <f t="shared" si="0"/>
        <v>600000</v>
      </c>
      <c r="P15" s="99">
        <f>VLOOKUP(C15,'2.2 KT-THUONG'!C:R,15,0)</f>
        <v>50000000</v>
      </c>
      <c r="Q15" s="99">
        <f>VLOOKUP(C15,'2.2 KT-THUONG'!C:R,16,0)</f>
        <v>0</v>
      </c>
      <c r="R15">
        <f>VLOOKUP(C15,'4. ERP-BANG LUONG'!D:AG,29,0)</f>
        <v>0</v>
      </c>
      <c r="S15" s="99">
        <f>VLOOKUP(C15,'2.3 KT-GIAM TRU'!C:U,17,0)</f>
        <v>0</v>
      </c>
      <c r="T15" s="99">
        <f>VLOOKUP(C15,'3.4 ERP-BHXH'!C:X,18,0)</f>
        <v>720000</v>
      </c>
      <c r="U15" s="99">
        <f>VLOOKUP(C15,'3.4 ERP-BHXH'!C:X,19,0)</f>
        <v>135000</v>
      </c>
      <c r="V15">
        <f>VLOOKUP(C15,'3.4 ERP-BHXH'!C:X,20,0)</f>
        <v>90000</v>
      </c>
      <c r="W15" s="99"/>
      <c r="X15" s="99">
        <f t="shared" si="1"/>
        <v>9000000</v>
      </c>
      <c r="Y15">
        <f>VLOOKUP(C15,'2.3 KT-GIAM TRU'!C:V,20,0)</f>
        <v>1</v>
      </c>
      <c r="Z15" s="99">
        <f t="shared" si="2"/>
        <v>3600000</v>
      </c>
      <c r="AA15" s="152">
        <f t="shared" si="3"/>
        <v>12600000</v>
      </c>
      <c r="AB15" s="132">
        <f t="shared" si="4"/>
        <v>96265000</v>
      </c>
      <c r="AC15" s="152">
        <f>IF(AB15&gt;'2.1 KT-Update ty le'!$A$16,AB15*'2.1 KT-Update ty le'!$B$17-'2.1 KT-Update ty le'!$E$17,IF(AB15&gt;'2.1 KT-Update ty le'!$A$15, AB15*'2.1 KT-Update ty le'!$B$16-'2.1 KT-Update ty le'!$E$16,IF(AB15&gt;'2.1 KT-Update ty le'!$A$14, AB15*'2.1 KT-Update ty le'!$B$15-'2.1 KT-Update ty le'!$E$15,IF(AB15&gt;'2.1 KT-Update ty le'!$A$13, AB15*'2.1 KT-Update ty le'!$B$14-'2.1 KT-Update ty le'!$E$14,IF(AB15&gt;'2.1 KT-Update ty le'!$A$12, AB15*'2.1 KT-Update ty le'!$B$13-'2.1 KT-Update ty le'!$E$13,IF(AB15&gt;'2.1 KT-Update ty le'!$A$11, AB15*'2.1 KT-Update ty le'!$B$12-'2.1 KT-Update ty le'!$E$12,IF(AB15&gt;0, AB15*'2.1 KT-Update ty le'!$B$11,0)))))))</f>
        <v>23842750</v>
      </c>
      <c r="AD15" s="99">
        <f>VLOOKUP(C15,'2.3 KT-GIAM TRU'!C:V,18,0)</f>
        <v>0</v>
      </c>
      <c r="AE15" s="99">
        <f>VLOOKUP(C15,'2.3 KT-GIAM TRU'!C:V,19,0)</f>
        <v>0</v>
      </c>
      <c r="AF15" s="105">
        <f t="shared" si="5"/>
        <v>23842750</v>
      </c>
    </row>
    <row r="16" spans="1:32" x14ac:dyDescent="0.25">
      <c r="A16" s="89" t="s">
        <v>302</v>
      </c>
      <c r="B16" s="89">
        <v>10</v>
      </c>
      <c r="C16" s="89" t="str">
        <f>VLOOKUP(B16,'1.2 HR-Data luong'!A:B,2,0)</f>
        <v>ADS10</v>
      </c>
      <c r="D16" s="89" t="str">
        <f>VLOOKUP($C16,'1.2 HR-Data luong'!$B:$BG,D$6,0)</f>
        <v>HR HN</v>
      </c>
      <c r="E16" s="89" t="str">
        <f>VLOOKUP($C16,'1.2 HR-Data luong'!$B:$BG,E$6,0)</f>
        <v>NguyenVanK</v>
      </c>
      <c r="F16" s="89" t="str">
        <f>VLOOKUP($C16,'1.2 HR-Data luong'!$B:$BG,F$6,0)</f>
        <v>Nguyễn Văn K</v>
      </c>
      <c r="G16" s="89" t="str">
        <f>VLOOKUP($C16,'1.2 HR-Data luong'!$B:$BG,G$6,0)</f>
        <v>HN</v>
      </c>
      <c r="H16" s="89" t="str">
        <f>VLOOKUP($C16,'1.2 HR-Data luong'!$B:$BG,H$6,0)</f>
        <v>Nhân viên</v>
      </c>
      <c r="I16" s="89" t="str">
        <f>VLOOKUP($C16,'1.2 HR-Data luong'!$B:$BG,I$6,0)</f>
        <v>C1</v>
      </c>
      <c r="J16" s="89" t="str">
        <f>VLOOKUP($C16,'1.2 HR-Data luong'!$B:$BG,J$6,0)</f>
        <v>CT</v>
      </c>
      <c r="K16" s="99">
        <f>VLOOKUP(C16,'4. ERP-BANG LUONG'!D:AH,31,0)</f>
        <v>172700000</v>
      </c>
      <c r="L16" s="99">
        <v>600000</v>
      </c>
      <c r="M16">
        <f>VLOOKUP(C16,'1.2 HR-Data luong'!B:AC,'1.2 HR-Data luong'!R$5,0)</f>
        <v>22.5</v>
      </c>
      <c r="N16">
        <v>22.5</v>
      </c>
      <c r="O16" s="105">
        <f t="shared" si="0"/>
        <v>600000</v>
      </c>
      <c r="P16" s="99">
        <f>VLOOKUP(C16,'2.2 KT-THUONG'!C:R,15,0)</f>
        <v>50000000</v>
      </c>
      <c r="Q16" s="99">
        <f>VLOOKUP(C16,'2.2 KT-THUONG'!C:R,16,0)</f>
        <v>0</v>
      </c>
      <c r="R16">
        <f>VLOOKUP(C16,'4. ERP-BANG LUONG'!D:AG,29,0)</f>
        <v>0</v>
      </c>
      <c r="S16" s="99">
        <f>VLOOKUP(C16,'2.3 KT-GIAM TRU'!C:U,17,0)</f>
        <v>0</v>
      </c>
      <c r="T16" s="99">
        <f>VLOOKUP(C16,'3.4 ERP-BHXH'!C:X,18,0)</f>
        <v>800000</v>
      </c>
      <c r="U16" s="99">
        <f>VLOOKUP(C16,'3.4 ERP-BHXH'!C:X,19,0)</f>
        <v>150000</v>
      </c>
      <c r="V16">
        <f>VLOOKUP(C16,'3.4 ERP-BHXH'!C:X,20,0)</f>
        <v>100000</v>
      </c>
      <c r="W16" s="99"/>
      <c r="X16" s="99">
        <f t="shared" si="1"/>
        <v>9000000</v>
      </c>
      <c r="Y16">
        <f>VLOOKUP(C16,'2.3 KT-GIAM TRU'!C:V,20,0)</f>
        <v>2</v>
      </c>
      <c r="Z16" s="99">
        <f t="shared" si="2"/>
        <v>7200000</v>
      </c>
      <c r="AA16" s="152">
        <f t="shared" si="3"/>
        <v>16200000</v>
      </c>
      <c r="AB16" s="132">
        <f t="shared" si="4"/>
        <v>104850000</v>
      </c>
      <c r="AC16" s="152">
        <f>IF(AB16&gt;'2.1 KT-Update ty le'!$A$16,AB16*'2.1 KT-Update ty le'!$B$17-'2.1 KT-Update ty le'!$E$17,IF(AB16&gt;'2.1 KT-Update ty le'!$A$15, AB16*'2.1 KT-Update ty le'!$B$16-'2.1 KT-Update ty le'!$E$16,IF(AB16&gt;'2.1 KT-Update ty le'!$A$14, AB16*'2.1 KT-Update ty le'!$B$15-'2.1 KT-Update ty le'!$E$15,IF(AB16&gt;'2.1 KT-Update ty le'!$A$13, AB16*'2.1 KT-Update ty le'!$B$14-'2.1 KT-Update ty le'!$E$14,IF(AB16&gt;'2.1 KT-Update ty le'!$A$12, AB16*'2.1 KT-Update ty le'!$B$13-'2.1 KT-Update ty le'!$E$13,IF(AB16&gt;'2.1 KT-Update ty le'!$A$11, AB16*'2.1 KT-Update ty le'!$B$12-'2.1 KT-Update ty le'!$E$12,IF(AB16&gt;0, AB16*'2.1 KT-Update ty le'!$B$11,0)))))))</f>
        <v>26847500</v>
      </c>
      <c r="AD16" s="99">
        <f>VLOOKUP(C16,'2.3 KT-GIAM TRU'!C:V,18,0)</f>
        <v>0</v>
      </c>
      <c r="AE16" s="99">
        <f>VLOOKUP(C16,'2.3 KT-GIAM TRU'!C:V,19,0)</f>
        <v>0</v>
      </c>
      <c r="AF16" s="105">
        <f t="shared" si="5"/>
        <v>26847500</v>
      </c>
    </row>
  </sheetData>
  <mergeCells count="20">
    <mergeCell ref="G3:G4"/>
    <mergeCell ref="B3:B4"/>
    <mergeCell ref="H3:H4"/>
    <mergeCell ref="I3:I4"/>
    <mergeCell ref="J3:J4"/>
    <mergeCell ref="K3:K4"/>
    <mergeCell ref="L3:O3"/>
    <mergeCell ref="AD3:AD4"/>
    <mergeCell ref="AE3:AE4"/>
    <mergeCell ref="AF3:AF4"/>
    <mergeCell ref="P3:S3"/>
    <mergeCell ref="X3:AA3"/>
    <mergeCell ref="T3:W3"/>
    <mergeCell ref="AB3:AB4"/>
    <mergeCell ref="AC3:AC4"/>
    <mergeCell ref="C3:C4"/>
    <mergeCell ref="D3:D4"/>
    <mergeCell ref="E3:E4"/>
    <mergeCell ref="F3:F4"/>
    <mergeCell ref="A3:A4"/>
  </mergeCells>
  <conditionalFormatting sqref="C3:C6 E6 G6 I6 K6 M6 O6 Q6 S6 Y6 AA6 AC6 AE6">
    <cfRule type="duplicateValues" dxfId="3" priority="2"/>
  </conditionalFormatting>
  <conditionalFormatting sqref="U6 W6">
    <cfRule type="duplicateValues" dxfId="2" priority="1"/>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BN16"/>
  <sheetViews>
    <sheetView topLeftCell="S1" zoomScale="85" zoomScaleNormal="85" workbookViewId="0">
      <selection activeCell="AE12" sqref="AE12"/>
    </sheetView>
  </sheetViews>
  <sheetFormatPr defaultRowHeight="15" x14ac:dyDescent="0.25"/>
  <cols>
    <col min="2" max="3" width="7.140625" style="89" customWidth="1"/>
    <col min="4" max="4" width="10.28515625" style="89" customWidth="1"/>
    <col min="5" max="5" width="10" style="89" customWidth="1"/>
    <col min="6" max="7" width="15.42578125" customWidth="1"/>
    <col min="9" max="9" width="15.7109375" customWidth="1"/>
    <col min="12" max="13" width="19.85546875" customWidth="1"/>
    <col min="15" max="15" width="14.28515625" bestFit="1" customWidth="1"/>
    <col min="16" max="16" width="10.5703125" bestFit="1" customWidth="1"/>
    <col min="17" max="17" width="11.5703125" bestFit="1" customWidth="1"/>
    <col min="23" max="23" width="14.7109375" customWidth="1"/>
    <col min="25" max="32" width="12.7109375" customWidth="1"/>
    <col min="33" max="34" width="13.85546875" customWidth="1"/>
    <col min="35" max="35" width="11.5703125" bestFit="1" customWidth="1"/>
    <col min="36" max="37" width="10.85546875" customWidth="1"/>
    <col min="40" max="40" width="10.5703125" bestFit="1" customWidth="1"/>
    <col min="43" max="43" width="13.5703125" customWidth="1"/>
    <col min="44" max="44" width="9.42578125" customWidth="1"/>
    <col min="45" max="45" width="12.7109375" bestFit="1" customWidth="1"/>
    <col min="46" max="46" width="16" customWidth="1"/>
    <col min="47" max="47" width="9.42578125" customWidth="1"/>
    <col min="48" max="48" width="11.5703125" bestFit="1" customWidth="1"/>
    <col min="49" max="49" width="16" customWidth="1"/>
    <col min="50" max="50" width="9.42578125" customWidth="1"/>
    <col min="52" max="52" width="16" customWidth="1"/>
    <col min="55" max="55" width="16" customWidth="1"/>
    <col min="57" max="57" width="11.5703125" bestFit="1" customWidth="1"/>
    <col min="58" max="58" width="10" customWidth="1"/>
    <col min="63" max="63" width="14.140625" customWidth="1"/>
  </cols>
  <sheetData>
    <row r="1" spans="1:66" x14ac:dyDescent="0.25">
      <c r="B1" s="134" t="s">
        <v>315</v>
      </c>
      <c r="C1" s="134"/>
      <c r="E1" s="155">
        <v>7</v>
      </c>
      <c r="F1" s="97" t="s">
        <v>316</v>
      </c>
      <c r="G1" s="154">
        <v>2017</v>
      </c>
    </row>
    <row r="2" spans="1:66" x14ac:dyDescent="0.25">
      <c r="B2" s="134" t="s">
        <v>374</v>
      </c>
      <c r="C2" s="134" t="s">
        <v>375</v>
      </c>
      <c r="E2" s="155"/>
      <c r="F2" s="97" t="s">
        <v>376</v>
      </c>
      <c r="G2" s="154"/>
      <c r="H2" s="97" t="s">
        <v>377</v>
      </c>
      <c r="I2" s="154"/>
    </row>
    <row r="3" spans="1:66" ht="64.5" customHeight="1" x14ac:dyDescent="0.25">
      <c r="B3" s="134"/>
      <c r="C3" s="134"/>
    </row>
    <row r="4" spans="1:66" ht="15" customHeight="1" x14ac:dyDescent="0.25">
      <c r="A4" s="336" t="s">
        <v>398</v>
      </c>
      <c r="B4" s="336" t="s">
        <v>0</v>
      </c>
      <c r="C4" s="336" t="s">
        <v>301</v>
      </c>
      <c r="D4" s="336" t="s">
        <v>1</v>
      </c>
      <c r="E4" s="336" t="s">
        <v>2</v>
      </c>
      <c r="F4" s="336" t="s">
        <v>218</v>
      </c>
      <c r="G4" s="336" t="s">
        <v>3</v>
      </c>
      <c r="H4" s="336" t="s">
        <v>4</v>
      </c>
      <c r="I4" s="336" t="s">
        <v>5</v>
      </c>
      <c r="J4" s="336" t="s">
        <v>6</v>
      </c>
      <c r="K4" s="336" t="s">
        <v>7</v>
      </c>
      <c r="L4" s="350" t="s">
        <v>8</v>
      </c>
      <c r="M4" s="357"/>
      <c r="N4" s="336" t="s">
        <v>9</v>
      </c>
      <c r="O4" s="356" t="s">
        <v>10</v>
      </c>
      <c r="P4" s="356"/>
      <c r="Q4" s="352" t="s">
        <v>11</v>
      </c>
      <c r="R4" s="356" t="s">
        <v>12</v>
      </c>
      <c r="S4" s="356"/>
      <c r="T4" s="356"/>
      <c r="U4" s="356"/>
      <c r="V4" s="2">
        <v>22.5</v>
      </c>
      <c r="W4" s="352" t="s">
        <v>14</v>
      </c>
      <c r="X4" s="352" t="s">
        <v>15</v>
      </c>
      <c r="Y4" s="337" t="s">
        <v>296</v>
      </c>
      <c r="Z4" s="338"/>
      <c r="AA4" s="338"/>
      <c r="AB4" s="338"/>
      <c r="AC4" s="338"/>
      <c r="AD4" s="338"/>
      <c r="AE4" s="338"/>
      <c r="AF4" s="339"/>
      <c r="AG4" s="355" t="s">
        <v>244</v>
      </c>
      <c r="AH4" s="352" t="s">
        <v>16</v>
      </c>
      <c r="AI4" s="337" t="s">
        <v>17</v>
      </c>
      <c r="AJ4" s="338"/>
      <c r="AK4" s="338"/>
      <c r="AL4" s="338"/>
      <c r="AM4" s="338"/>
      <c r="AN4" s="338"/>
      <c r="AO4" s="338"/>
      <c r="AP4" s="339"/>
      <c r="AQ4" s="358" t="s">
        <v>18</v>
      </c>
      <c r="AR4" s="337" t="s">
        <v>19</v>
      </c>
      <c r="AS4" s="338"/>
      <c r="AT4" s="338"/>
      <c r="AU4" s="338"/>
      <c r="AV4" s="338"/>
      <c r="AW4" s="338"/>
      <c r="AX4" s="338"/>
      <c r="AY4" s="338"/>
      <c r="AZ4" s="338"/>
      <c r="BA4" s="338"/>
      <c r="BB4" s="338"/>
      <c r="BC4" s="338"/>
      <c r="BD4" s="338"/>
      <c r="BE4" s="338"/>
      <c r="BF4" s="339"/>
      <c r="BG4" s="352" t="s">
        <v>323</v>
      </c>
      <c r="BH4" s="352" t="s">
        <v>373</v>
      </c>
      <c r="BI4" s="353" t="s">
        <v>20</v>
      </c>
      <c r="BJ4" s="354"/>
      <c r="BK4" s="354"/>
      <c r="BL4" s="354"/>
      <c r="BM4" s="354"/>
      <c r="BN4" s="354"/>
    </row>
    <row r="5" spans="1:66" ht="51" x14ac:dyDescent="0.25">
      <c r="A5" s="336"/>
      <c r="B5" s="336"/>
      <c r="C5" s="336"/>
      <c r="D5" s="336"/>
      <c r="E5" s="336"/>
      <c r="F5" s="336"/>
      <c r="G5" s="336"/>
      <c r="H5" s="336"/>
      <c r="I5" s="336"/>
      <c r="J5" s="336"/>
      <c r="K5" s="336"/>
      <c r="L5" s="1" t="s">
        <v>58</v>
      </c>
      <c r="M5" s="7" t="s">
        <v>216</v>
      </c>
      <c r="N5" s="336"/>
      <c r="O5" s="3" t="s">
        <v>21</v>
      </c>
      <c r="P5" s="3" t="s">
        <v>22</v>
      </c>
      <c r="Q5" s="352"/>
      <c r="R5" s="3" t="s">
        <v>23</v>
      </c>
      <c r="S5" s="3" t="s">
        <v>24</v>
      </c>
      <c r="T5" s="88" t="s">
        <v>321</v>
      </c>
      <c r="U5" s="112" t="s">
        <v>322</v>
      </c>
      <c r="V5" s="4" t="s">
        <v>29</v>
      </c>
      <c r="W5" s="352"/>
      <c r="X5" s="352"/>
      <c r="Y5" s="88" t="s">
        <v>25</v>
      </c>
      <c r="Z5" s="88" t="s">
        <v>27</v>
      </c>
      <c r="AA5" s="88" t="s">
        <v>28</v>
      </c>
      <c r="AB5" s="112" t="s">
        <v>243</v>
      </c>
      <c r="AC5" s="88" t="s">
        <v>26</v>
      </c>
      <c r="AD5" s="88" t="s">
        <v>241</v>
      </c>
      <c r="AE5" s="115" t="s">
        <v>239</v>
      </c>
      <c r="AF5" s="115" t="s">
        <v>240</v>
      </c>
      <c r="AG5" s="355"/>
      <c r="AH5" s="352"/>
      <c r="AI5" s="3" t="s">
        <v>30</v>
      </c>
      <c r="AJ5" s="3" t="s">
        <v>31</v>
      </c>
      <c r="AK5" s="3" t="s">
        <v>32</v>
      </c>
      <c r="AL5" s="3" t="s">
        <v>33</v>
      </c>
      <c r="AM5" s="3" t="s">
        <v>34</v>
      </c>
      <c r="AN5" s="112" t="s">
        <v>252</v>
      </c>
      <c r="AO5" s="3" t="s">
        <v>264</v>
      </c>
      <c r="AP5" s="3" t="s">
        <v>253</v>
      </c>
      <c r="AQ5" s="359"/>
      <c r="AR5" s="135" t="s">
        <v>290</v>
      </c>
      <c r="AS5" s="112" t="s">
        <v>36</v>
      </c>
      <c r="AT5" s="232" t="s">
        <v>463</v>
      </c>
      <c r="AU5" s="135" t="s">
        <v>291</v>
      </c>
      <c r="AV5" s="5" t="s">
        <v>37</v>
      </c>
      <c r="AW5" s="232" t="s">
        <v>464</v>
      </c>
      <c r="AX5" s="135" t="s">
        <v>293</v>
      </c>
      <c r="AY5" s="5" t="s">
        <v>38</v>
      </c>
      <c r="AZ5" s="232" t="s">
        <v>466</v>
      </c>
      <c r="BA5" s="112" t="s">
        <v>283</v>
      </c>
      <c r="BB5" s="112" t="s">
        <v>289</v>
      </c>
      <c r="BC5" s="232" t="s">
        <v>467</v>
      </c>
      <c r="BD5" s="135" t="s">
        <v>294</v>
      </c>
      <c r="BE5" s="112" t="s">
        <v>295</v>
      </c>
      <c r="BF5" s="3" t="s">
        <v>39</v>
      </c>
      <c r="BG5" s="352"/>
      <c r="BH5" s="352"/>
      <c r="BI5" s="112" t="s">
        <v>42</v>
      </c>
      <c r="BJ5" s="6" t="s">
        <v>40</v>
      </c>
      <c r="BK5" s="6" t="s">
        <v>41</v>
      </c>
      <c r="BL5" s="111" t="s">
        <v>300</v>
      </c>
      <c r="BM5" s="111" t="s">
        <v>82</v>
      </c>
      <c r="BN5" s="6" t="s">
        <v>78</v>
      </c>
    </row>
    <row r="6" spans="1:66" x14ac:dyDescent="0.25">
      <c r="A6" s="90"/>
      <c r="B6" s="90"/>
      <c r="C6" s="90"/>
      <c r="D6" s="90">
        <v>1</v>
      </c>
      <c r="E6" s="90">
        <v>2</v>
      </c>
      <c r="F6" s="90">
        <v>3</v>
      </c>
      <c r="G6" s="90">
        <v>4</v>
      </c>
      <c r="H6" s="90">
        <v>5</v>
      </c>
      <c r="I6" s="90">
        <v>6</v>
      </c>
      <c r="J6" s="90">
        <v>7</v>
      </c>
      <c r="K6" s="90">
        <v>8</v>
      </c>
      <c r="L6" s="90">
        <v>9</v>
      </c>
      <c r="M6" s="90">
        <v>10</v>
      </c>
      <c r="N6" s="90">
        <v>11</v>
      </c>
      <c r="O6" s="90">
        <v>12</v>
      </c>
      <c r="P6" s="90">
        <v>13</v>
      </c>
      <c r="Q6" s="90">
        <v>14</v>
      </c>
      <c r="R6" s="90">
        <v>15</v>
      </c>
      <c r="S6" s="90">
        <v>16</v>
      </c>
      <c r="T6" s="90">
        <v>17</v>
      </c>
      <c r="U6" s="90">
        <v>18</v>
      </c>
      <c r="V6" s="90">
        <v>19</v>
      </c>
      <c r="W6" s="90">
        <v>20</v>
      </c>
      <c r="X6" s="90">
        <v>21</v>
      </c>
      <c r="Y6" s="90">
        <v>22</v>
      </c>
      <c r="Z6" s="90">
        <v>23</v>
      </c>
      <c r="AA6" s="90">
        <v>24</v>
      </c>
      <c r="AB6" s="90">
        <v>25</v>
      </c>
      <c r="AC6" s="90">
        <v>26</v>
      </c>
      <c r="AD6" s="90">
        <v>27</v>
      </c>
      <c r="AE6" s="90">
        <v>28</v>
      </c>
      <c r="AF6" s="90">
        <v>29</v>
      </c>
      <c r="AG6" s="90">
        <v>30</v>
      </c>
      <c r="AH6" s="90">
        <v>31</v>
      </c>
      <c r="AI6" s="90">
        <v>32</v>
      </c>
      <c r="AJ6" s="90">
        <v>33</v>
      </c>
      <c r="AK6" s="90">
        <v>34</v>
      </c>
      <c r="AL6" s="90">
        <v>35</v>
      </c>
      <c r="AM6" s="90">
        <v>36</v>
      </c>
      <c r="AN6" s="90">
        <v>37</v>
      </c>
      <c r="AO6" s="90">
        <v>38</v>
      </c>
      <c r="AP6" s="90">
        <v>39</v>
      </c>
      <c r="AQ6" s="90">
        <v>40</v>
      </c>
      <c r="AR6" s="90">
        <v>41</v>
      </c>
      <c r="AS6" s="90">
        <v>42</v>
      </c>
      <c r="AT6" s="90">
        <v>52</v>
      </c>
      <c r="AU6" s="90">
        <v>43</v>
      </c>
      <c r="AV6" s="90">
        <v>44</v>
      </c>
      <c r="AW6" s="90">
        <v>52</v>
      </c>
      <c r="AX6" s="90">
        <v>45</v>
      </c>
      <c r="AY6" s="90">
        <v>46</v>
      </c>
      <c r="AZ6" s="90">
        <v>52</v>
      </c>
      <c r="BA6" s="90">
        <v>47</v>
      </c>
      <c r="BB6" s="90">
        <v>48</v>
      </c>
      <c r="BC6" s="90">
        <v>52</v>
      </c>
      <c r="BD6" s="90">
        <v>49</v>
      </c>
      <c r="BE6" s="90">
        <v>50</v>
      </c>
      <c r="BF6" s="90">
        <v>51</v>
      </c>
      <c r="BG6" s="90">
        <v>53</v>
      </c>
      <c r="BH6" s="90">
        <v>54</v>
      </c>
      <c r="BI6" s="90">
        <v>55</v>
      </c>
      <c r="BJ6" s="90">
        <v>56</v>
      </c>
      <c r="BK6" s="90">
        <v>57</v>
      </c>
      <c r="BL6" s="90">
        <v>58</v>
      </c>
      <c r="BM6" s="90">
        <v>59</v>
      </c>
      <c r="BN6" s="90">
        <v>60</v>
      </c>
    </row>
    <row r="7" spans="1:66" x14ac:dyDescent="0.25">
      <c r="A7" s="136">
        <v>2017.07</v>
      </c>
      <c r="B7" s="136">
        <v>1</v>
      </c>
      <c r="C7" s="136" t="s">
        <v>302</v>
      </c>
      <c r="D7" s="136" t="str">
        <f>VLOOKUP($B7,'1.2 HR-Data luong'!$A:$AD,'1.2 HR-Data luong'!B$5+1,0)</f>
        <v>ADS01</v>
      </c>
      <c r="E7" s="136" t="str">
        <f>VLOOKUP($B7,'1.2 HR-Data luong'!$A:$AD,'1.2 HR-Data luong'!C$5+1,0)</f>
        <v>BD01 HN</v>
      </c>
      <c r="F7" s="136" t="str">
        <f>VLOOKUP($B7,'1.2 HR-Data luong'!$A:$AD,'1.2 HR-Data luong'!D$5+1,0)</f>
        <v>NguyenVanA</v>
      </c>
      <c r="G7" s="136" t="str">
        <f>VLOOKUP($B7,'1.2 HR-Data luong'!$A:$AD,'1.2 HR-Data luong'!E$5+1,0)</f>
        <v>Nguyễn Văn A</v>
      </c>
      <c r="H7" s="136" t="str">
        <f>VLOOKUP($B7,'1.2 HR-Data luong'!$A:$AD,'1.2 HR-Data luong'!F$5+1,0)</f>
        <v>HN</v>
      </c>
      <c r="I7" s="136" t="str">
        <f>VLOOKUP($B7,'1.2 HR-Data luong'!$A:$AD,'1.2 HR-Data luong'!G$5+1,0)</f>
        <v>Trưởng phòng</v>
      </c>
      <c r="J7" s="136" t="str">
        <f>VLOOKUP($B7,'1.2 HR-Data luong'!$A:$AD,'1.2 HR-Data luong'!H$5+1,0)</f>
        <v>TP C1</v>
      </c>
      <c r="K7" s="136" t="str">
        <f>VLOOKUP($B7,'1.2 HR-Data luong'!$A:$AD,'1.2 HR-Data luong'!I$5+1,0)</f>
        <v>CT</v>
      </c>
      <c r="L7" s="136" t="str">
        <f>VLOOKUP($B7,'1.2 HR-Data luong'!$A:$AD,'1.2 HR-Data luong'!J$5+1,0)</f>
        <v>anv@novaon.vn</v>
      </c>
      <c r="M7" s="136" t="str">
        <f>VLOOKUP($B7,'1.2 HR-Data luong'!$A:$AD,'1.2 HR-Data luong'!K$5+1,0)</f>
        <v>bom@novaon.vn</v>
      </c>
      <c r="N7" s="137" t="str">
        <f>VLOOKUP($D7,'1.2 HR-Data luong'!$B:$BG,'1.2 HR-Data luong'!BF$5,0)</f>
        <v>ON</v>
      </c>
      <c r="O7" s="138">
        <f>VLOOKUP(D7,'3.1 ERP-MUC LUONG'!C:R,16,0)</f>
        <v>4707317.0731707318</v>
      </c>
      <c r="P7" s="138">
        <f>VLOOKUP(D7,'3.2 ERP-PC THAM NIEN'!C:AK,35,0)</f>
        <v>84888.888888888891</v>
      </c>
      <c r="Q7" s="139">
        <f>SUM(O7:P7)</f>
        <v>4792205.9620596208</v>
      </c>
      <c r="R7" s="138">
        <f>VLOOKUP(D7,'1.2 HR-Data luong'!B:AK,34,0)</f>
        <v>0</v>
      </c>
      <c r="S7" s="138">
        <f>VLOOKUP(D7,'3.3 ERP-PC LAPTOP va PC BD'!C:O,13,0)</f>
        <v>146341.46341463414</v>
      </c>
      <c r="T7" s="138">
        <f>VLOOKUP(D7,'3.3 ERP-PC LAPTOP va PC BD'!C:T,18,0)</f>
        <v>146341.46341463414</v>
      </c>
      <c r="U7" s="138">
        <v>0</v>
      </c>
      <c r="V7" s="140">
        <f>VLOOKUP(D7,'1.2 HR-Data luong'!B:R,17,0)</f>
        <v>20.5</v>
      </c>
      <c r="W7" s="141">
        <f>Q7/$V$4*V7</f>
        <v>4366232.0987654319</v>
      </c>
      <c r="X7" s="139">
        <f>SUM(R7:U7)/$V$4*V7</f>
        <v>266666.66666666669</v>
      </c>
      <c r="Y7" s="138">
        <f>VLOOKUP($D7,'2.2 KT-THUONG'!$C:$R,'2.2 KT-THUONG'!K$5,0)</f>
        <v>300000</v>
      </c>
      <c r="Z7" s="138">
        <f>VLOOKUP($D7,'2.2 KT-THUONG'!$C:$R,'2.2 KT-THUONG'!L$5,0)</f>
        <v>1000000</v>
      </c>
      <c r="AA7" s="138">
        <f>VLOOKUP($D7,'2.2 KT-THUONG'!$C:$R,'2.2 KT-THUONG'!M$5,0)</f>
        <v>100000</v>
      </c>
      <c r="AB7" s="138">
        <f>VLOOKUP($D7,'2.2 KT-THUONG'!$C:$R,'2.2 KT-THUONG'!N$5,0)</f>
        <v>2000000</v>
      </c>
      <c r="AC7" s="138">
        <f>VLOOKUP($D7,'2.2 KT-THUONG'!$C:$R,'2.2 KT-THUONG'!O$5,0)</f>
        <v>10000000</v>
      </c>
      <c r="AD7" s="138">
        <f>VLOOKUP($D7,'2.2 KT-THUONG'!$C:$R,'2.2 KT-THUONG'!P$5,0)</f>
        <v>0</v>
      </c>
      <c r="AE7" s="138">
        <f>VLOOKUP($D7,'2.2 KT-THUONG'!$C:$R,'2.2 KT-THUONG'!Q$5,0)</f>
        <v>50000000</v>
      </c>
      <c r="AF7" s="138">
        <f>VLOOKUP($D7,'2.2 KT-THUONG'!$C:$R,'2.2 KT-THUONG'!R$5,0)</f>
        <v>0</v>
      </c>
      <c r="AG7" s="138"/>
      <c r="AH7" s="139">
        <f>SUM(W7:AG7)</f>
        <v>68032898.76543209</v>
      </c>
      <c r="AI7" s="138">
        <f>VLOOKUP(D7,'3.5 ERP-THUE TNCN'!C:AF,30,0)</f>
        <v>0</v>
      </c>
      <c r="AJ7" s="138">
        <f>VLOOKUP(D7,'3.4 ERP-BHXH'!C:X,21,0)</f>
        <v>105000</v>
      </c>
      <c r="AK7" s="138">
        <f>VLOOKUP(D7,'3.4 ERP-BHXH'!C:X,22,0)</f>
        <v>10000</v>
      </c>
      <c r="AL7" s="138">
        <f>VLOOKUP($D7,'1.2 HR-Data luong'!$B:$BE,'1.2 HR-Data luong'!BE$5,0)</f>
        <v>0</v>
      </c>
      <c r="AM7" s="138">
        <f>VLOOKUP($D7,'1.2 HR-Data luong'!$B:$BE,'1.2 HR-Data luong'!AM$5,0)</f>
        <v>0</v>
      </c>
      <c r="AN7" s="138">
        <f>VLOOKUP($D7,'1.2 HR-Data luong'!$B:$BE,'1.2 HR-Data luong'!AN$5,0)</f>
        <v>0</v>
      </c>
      <c r="AO7" s="138">
        <f>VLOOKUP(D7,'2.3 KT-GIAM TRU'!C:S,16,0)</f>
        <v>0</v>
      </c>
      <c r="AP7" s="138">
        <f>VLOOKUP(D7,'2.3 KT-GIAM TRU'!C:S,15,0)</f>
        <v>0</v>
      </c>
      <c r="AQ7" s="139">
        <f>AH7-SUM(AI7:AP7)</f>
        <v>67917898.76543209</v>
      </c>
      <c r="AR7" s="142" t="str">
        <f>IF(N7="OFF",0,"X")</f>
        <v>X</v>
      </c>
      <c r="AS7" s="138">
        <f>IF(AR7="X",AQ7,0)</f>
        <v>67917898.76543209</v>
      </c>
      <c r="AT7" s="139" t="s">
        <v>352</v>
      </c>
      <c r="AU7" s="138"/>
      <c r="AV7" s="138"/>
      <c r="AW7" s="139"/>
      <c r="AX7" s="138"/>
      <c r="AY7" s="138"/>
      <c r="AZ7" s="139"/>
      <c r="BA7" s="138"/>
      <c r="BB7" s="138"/>
      <c r="BC7" s="139"/>
      <c r="BD7" s="138"/>
      <c r="BE7" s="138"/>
      <c r="BF7" s="139">
        <f>AQ7-SUM(AS7,AV7,AY7,BB7,BE7)</f>
        <v>0</v>
      </c>
      <c r="BG7" s="138"/>
      <c r="BH7" s="138"/>
      <c r="BI7" s="138" t="str">
        <f>VLOOKUP(D7,'1.1 HR-Ho so nhan su'!B:AR,39,0)</f>
        <v>2. TPB</v>
      </c>
      <c r="BJ7" s="138" t="str">
        <f>VLOOKUP(D7,'1.1 HR-Ho so nhan su'!B:AR,40,0)</f>
        <v>TPB001</v>
      </c>
      <c r="BK7" s="138" t="str">
        <f>VLOOKUP(D7,'1.1 HR-Ho so nhan su'!B:AR,41,0)</f>
        <v>Nguyễn Văn A</v>
      </c>
      <c r="BL7" s="138" t="str">
        <f>VLOOKUP(D7,'1.1 HR-Ho so nhan su'!B:AR,42,0)</f>
        <v>KHB</v>
      </c>
      <c r="BM7" s="138" t="str">
        <f>VLOOKUP(D7,'1.1 HR-Ho so nhan su'!B:AR,43,0)</f>
        <v>HN</v>
      </c>
      <c r="BN7" s="138">
        <f>VLOOKUP(D7,'1.1 HR-Ho so nhan su'!B:AS,44,0)</f>
        <v>0</v>
      </c>
    </row>
    <row r="8" spans="1:66" x14ac:dyDescent="0.25">
      <c r="A8" s="136">
        <v>2017.07</v>
      </c>
      <c r="B8" s="136">
        <v>2</v>
      </c>
      <c r="C8" s="136" t="s">
        <v>302</v>
      </c>
      <c r="D8" s="136" t="str">
        <f>VLOOKUP($B8,'1.2 HR-Data luong'!$A:$AD,'1.2 HR-Data luong'!B$5+1,0)</f>
        <v>ADS02</v>
      </c>
      <c r="E8" s="136" t="str">
        <f>VLOOKUP($B8,'1.2 HR-Data luong'!$A:$AD,'1.2 HR-Data luong'!C$5+1,0)</f>
        <v>BD01 HN</v>
      </c>
      <c r="F8" s="136" t="str">
        <f>VLOOKUP($B8,'1.2 HR-Data luong'!$A:$AD,'1.2 HR-Data luong'!D$5+1,0)</f>
        <v>NguyenVanB</v>
      </c>
      <c r="G8" s="136" t="str">
        <f>VLOOKUP($B8,'1.2 HR-Data luong'!$A:$AD,'1.2 HR-Data luong'!E$5+1,0)</f>
        <v>Nguyễn Văn B</v>
      </c>
      <c r="H8" s="136" t="str">
        <f>VLOOKUP($B8,'1.2 HR-Data luong'!$A:$AD,'1.2 HR-Data luong'!F$5+1,0)</f>
        <v>HN</v>
      </c>
      <c r="I8" s="136" t="str">
        <f>VLOOKUP($B8,'1.2 HR-Data luong'!$A:$AD,'1.2 HR-Data luong'!G$5+1,0)</f>
        <v>Nhân viên</v>
      </c>
      <c r="J8" s="136" t="str">
        <f>VLOOKUP($B8,'1.2 HR-Data luong'!$A:$AD,'1.2 HR-Data luong'!H$5+1,0)</f>
        <v>C1</v>
      </c>
      <c r="K8" s="136" t="str">
        <f>VLOOKUP($B8,'1.2 HR-Data luong'!$A:$AD,'1.2 HR-Data luong'!I$5+1,0)</f>
        <v>CT</v>
      </c>
      <c r="L8" s="136" t="str">
        <f>VLOOKUP($B8,'1.2 HR-Data luong'!$A:$AD,'1.2 HR-Data luong'!J$5+1,0)</f>
        <v>bnv@novaon.vn</v>
      </c>
      <c r="M8" s="136" t="str">
        <f>VLOOKUP($B8,'1.2 HR-Data luong'!$A:$AD,'1.2 HR-Data luong'!K$5+1,0)</f>
        <v>anv@novaon.vn</v>
      </c>
      <c r="N8" s="137" t="str">
        <f>VLOOKUP($D8,'1.2 HR-Data luong'!$B:$BG,'1.2 HR-Data luong'!BF$5,0)</f>
        <v>OFF</v>
      </c>
      <c r="O8" s="138">
        <f>VLOOKUP(D8,'3.1 ERP-MUC LUONG'!C:R,16,0)</f>
        <v>2195121.9512195121</v>
      </c>
      <c r="P8" s="138">
        <f>VLOOKUP(D8,'3.2 ERP-PC THAM NIEN'!C:AK,35,0)</f>
        <v>40000</v>
      </c>
      <c r="Q8" s="139">
        <f t="shared" ref="Q8:Q16" si="0">SUM(O8:P8)</f>
        <v>2235121.9512195121</v>
      </c>
      <c r="R8" s="138">
        <f>VLOOKUP(D8,'1.2 HR-Data luong'!B:AK,34,0)</f>
        <v>0</v>
      </c>
      <c r="S8" s="138">
        <f>VLOOKUP(D8,'3.3 ERP-PC LAPTOP va PC BD'!C:O,13,0)</f>
        <v>146341.46341463414</v>
      </c>
      <c r="T8" s="138">
        <f>VLOOKUP(D8,'3.3 ERP-PC LAPTOP va PC BD'!C:T,18,0)</f>
        <v>146341.46341463414</v>
      </c>
      <c r="U8" s="138">
        <v>0</v>
      </c>
      <c r="V8" s="140">
        <f>VLOOKUP(D8,'1.2 HR-Data luong'!B:R,17,0)</f>
        <v>20.5</v>
      </c>
      <c r="W8" s="141">
        <f t="shared" ref="W8:W16" si="1">Q8/$V$4*V8</f>
        <v>2036444.4444444443</v>
      </c>
      <c r="X8" s="139">
        <f t="shared" ref="X8:X16" si="2">SUM(R8:U8)/$V$4*V8</f>
        <v>266666.66666666669</v>
      </c>
      <c r="Y8" s="138">
        <f>VLOOKUP($D8,'2.2 KT-THUONG'!$C:$R,'2.2 KT-THUONG'!K$5,0)</f>
        <v>300000</v>
      </c>
      <c r="Z8" s="138">
        <f>VLOOKUP($D8,'2.2 KT-THUONG'!$C:$R,'2.2 KT-THUONG'!L$5,0)</f>
        <v>2000000</v>
      </c>
      <c r="AA8" s="138">
        <f>VLOOKUP($D8,'2.2 KT-THUONG'!$C:$R,'2.2 KT-THUONG'!M$5,0)</f>
        <v>200000</v>
      </c>
      <c r="AB8" s="138">
        <f>VLOOKUP($D8,'2.2 KT-THUONG'!$C:$R,'2.2 KT-THUONG'!N$5,0)</f>
        <v>0</v>
      </c>
      <c r="AC8" s="138">
        <f>VLOOKUP($D8,'2.2 KT-THUONG'!$C:$R,'2.2 KT-THUONG'!O$5,0)</f>
        <v>20000000</v>
      </c>
      <c r="AD8" s="138">
        <f>VLOOKUP($D8,'2.2 KT-THUONG'!$C:$R,'2.2 KT-THUONG'!P$5,0)</f>
        <v>0</v>
      </c>
      <c r="AE8" s="138">
        <f>VLOOKUP($D8,'2.2 KT-THUONG'!$C:$R,'2.2 KT-THUONG'!Q$5,0)</f>
        <v>50000000</v>
      </c>
      <c r="AF8" s="138">
        <f>VLOOKUP($D8,'2.2 KT-THUONG'!$C:$R,'2.2 KT-THUONG'!R$5,0)</f>
        <v>0</v>
      </c>
      <c r="AG8" s="138"/>
      <c r="AH8" s="139">
        <f t="shared" ref="AH8:AH16" si="3">SUM(W8:AG8)</f>
        <v>74803111.111111104</v>
      </c>
      <c r="AI8" s="138">
        <f>VLOOKUP(D8,'3.5 ERP-THUE TNCN'!C:AF,30,0)</f>
        <v>1506966.666666666</v>
      </c>
      <c r="AJ8" s="138">
        <f>VLOOKUP(D8,'3.4 ERP-BHXH'!C:X,21,0)</f>
        <v>210000</v>
      </c>
      <c r="AK8" s="138">
        <f>VLOOKUP(D8,'3.4 ERP-BHXH'!C:X,22,0)</f>
        <v>20000</v>
      </c>
      <c r="AL8" s="138">
        <f>VLOOKUP($D8,'1.2 HR-Data luong'!$B:$BE,'1.2 HR-Data luong'!BE$5,0)</f>
        <v>0</v>
      </c>
      <c r="AM8" s="138">
        <f>VLOOKUP($D8,'1.2 HR-Data luong'!$B:$BE,'1.2 HR-Data luong'!AM$5,0)</f>
        <v>0</v>
      </c>
      <c r="AN8" s="138">
        <f>VLOOKUP($D8,'1.2 HR-Data luong'!$B:$BE,'1.2 HR-Data luong'!AN$5,0)</f>
        <v>1000000</v>
      </c>
      <c r="AO8" s="138">
        <f>VLOOKUP(D8,'2.3 KT-GIAM TRU'!C:S,16,0)</f>
        <v>500000</v>
      </c>
      <c r="AP8" s="138">
        <f>VLOOKUP(D8,'2.3 KT-GIAM TRU'!C:S,15,0)</f>
        <v>315000</v>
      </c>
      <c r="AQ8" s="139">
        <f t="shared" ref="AQ8:AQ16" si="4">AH8-SUM(AI8:AP8)</f>
        <v>71251144.444444433</v>
      </c>
      <c r="AR8" s="142">
        <f t="shared" ref="AR8:AR16" si="5">IF(N8="OFF",0,"X")</f>
        <v>0</v>
      </c>
      <c r="AS8" s="138">
        <f t="shared" ref="AS8:AS16" si="6">IF(AR8="X",AQ8,0)</f>
        <v>0</v>
      </c>
      <c r="AT8" s="139"/>
      <c r="AU8" s="138" t="s">
        <v>292</v>
      </c>
      <c r="AV8" s="138">
        <f>AQ8-AS8</f>
        <v>71251144.444444433</v>
      </c>
      <c r="AW8" s="139" t="s">
        <v>465</v>
      </c>
      <c r="AX8" s="138"/>
      <c r="AY8" s="138"/>
      <c r="AZ8" s="139"/>
      <c r="BA8" s="138"/>
      <c r="BB8" s="138"/>
      <c r="BC8" s="139"/>
      <c r="BD8" s="138"/>
      <c r="BE8" s="138"/>
      <c r="BF8" s="139">
        <f t="shared" ref="BF8:BF16" si="7">AQ8-SUM(AS8,AV8,AY8,BB8,BE8)</f>
        <v>0</v>
      </c>
      <c r="BG8" s="138"/>
      <c r="BH8" s="138"/>
      <c r="BI8" s="138" t="str">
        <f>VLOOKUP(D8,'1.1 HR-Ho so nhan su'!B:AR,39,0)</f>
        <v>2. TPB</v>
      </c>
      <c r="BJ8" s="138" t="str">
        <f>VLOOKUP(D8,'1.1 HR-Ho so nhan su'!B:AR,40,0)</f>
        <v>TPB002</v>
      </c>
      <c r="BK8" s="138" t="str">
        <f>VLOOKUP(D8,'1.1 HR-Ho so nhan su'!B:AR,41,0)</f>
        <v>Nguyễn Văn B</v>
      </c>
      <c r="BL8" s="138" t="str">
        <f>VLOOKUP(D8,'1.1 HR-Ho so nhan su'!B:AR,42,0)</f>
        <v>KHB</v>
      </c>
      <c r="BM8" s="138" t="str">
        <f>VLOOKUP(D8,'1.1 HR-Ho so nhan su'!B:AR,43,0)</f>
        <v>HN</v>
      </c>
      <c r="BN8" s="138">
        <f>VLOOKUP(D8,'1.1 HR-Ho so nhan su'!B:AS,44,0)</f>
        <v>0</v>
      </c>
    </row>
    <row r="9" spans="1:66" x14ac:dyDescent="0.25">
      <c r="A9" s="136">
        <v>2017.07</v>
      </c>
      <c r="B9" s="136">
        <v>3</v>
      </c>
      <c r="C9" s="136" t="s">
        <v>302</v>
      </c>
      <c r="D9" s="136" t="str">
        <f>VLOOKUP($B9,'1.2 HR-Data luong'!$A:$AD,'1.2 HR-Data luong'!B$5+1,0)</f>
        <v>ADS03</v>
      </c>
      <c r="E9" s="136" t="str">
        <f>VLOOKUP($B9,'1.2 HR-Data luong'!$A:$AD,'1.2 HR-Data luong'!C$5+1,0)</f>
        <v>BD02 HN</v>
      </c>
      <c r="F9" s="136" t="str">
        <f>VLOOKUP($B9,'1.2 HR-Data luong'!$A:$AD,'1.2 HR-Data luong'!D$5+1,0)</f>
        <v>NguyenVanC</v>
      </c>
      <c r="G9" s="136" t="str">
        <f>VLOOKUP($B9,'1.2 HR-Data luong'!$A:$AD,'1.2 HR-Data luong'!E$5+1,0)</f>
        <v>Nguyễn Văn C</v>
      </c>
      <c r="H9" s="136" t="str">
        <f>VLOOKUP($B9,'1.2 HR-Data luong'!$A:$AD,'1.2 HR-Data luong'!F$5+1,0)</f>
        <v>HN</v>
      </c>
      <c r="I9" s="136" t="str">
        <f>VLOOKUP($B9,'1.2 HR-Data luong'!$A:$AD,'1.2 HR-Data luong'!G$5+1,0)</f>
        <v>Trưởng phòng</v>
      </c>
      <c r="J9" s="136" t="str">
        <f>VLOOKUP($B9,'1.2 HR-Data luong'!$A:$AD,'1.2 HR-Data luong'!H$5+1,0)</f>
        <v>TP C2</v>
      </c>
      <c r="K9" s="136" t="str">
        <f>VLOOKUP($B9,'1.2 HR-Data luong'!$A:$AD,'1.2 HR-Data luong'!I$5+1,0)</f>
        <v>CT</v>
      </c>
      <c r="L9" s="136" t="str">
        <f>VLOOKUP($B9,'1.2 HR-Data luong'!$A:$AD,'1.2 HR-Data luong'!J$5+1,0)</f>
        <v>cnv@novaon.vn</v>
      </c>
      <c r="M9" s="136" t="str">
        <f>VLOOKUP($B9,'1.2 HR-Data luong'!$A:$AD,'1.2 HR-Data luong'!K$5+1,0)</f>
        <v>bom@novaon.vn</v>
      </c>
      <c r="N9" s="137" t="str">
        <f>VLOOKUP($D9,'1.2 HR-Data luong'!$B:$BG,'1.2 HR-Data luong'!BF$5,0)</f>
        <v>ON</v>
      </c>
      <c r="O9" s="138">
        <f>VLOOKUP(D9,'3.1 ERP-MUC LUONG'!C:R,16,0)</f>
        <v>3292682.9268292682</v>
      </c>
      <c r="P9" s="138">
        <f>VLOOKUP(D9,'3.2 ERP-PC THAM NIEN'!C:AK,35,0)</f>
        <v>90000</v>
      </c>
      <c r="Q9" s="139">
        <f t="shared" si="0"/>
        <v>3382682.9268292682</v>
      </c>
      <c r="R9" s="138">
        <f>VLOOKUP(D9,'1.2 HR-Data luong'!B:AK,34,0)</f>
        <v>0</v>
      </c>
      <c r="S9" s="138">
        <f>VLOOKUP(D9,'3.3 ERP-PC LAPTOP va PC BD'!C:O,13,0)</f>
        <v>146341.46341463414</v>
      </c>
      <c r="T9" s="138">
        <f>VLOOKUP(D9,'3.3 ERP-PC LAPTOP va PC BD'!C:T,18,0)</f>
        <v>146341.46341463414</v>
      </c>
      <c r="U9" s="138">
        <v>0</v>
      </c>
      <c r="V9" s="140">
        <f>VLOOKUP(D9,'1.2 HR-Data luong'!B:R,17,0)</f>
        <v>20.5</v>
      </c>
      <c r="W9" s="141">
        <f t="shared" si="1"/>
        <v>3082000</v>
      </c>
      <c r="X9" s="139">
        <f t="shared" si="2"/>
        <v>266666.66666666669</v>
      </c>
      <c r="Y9" s="138">
        <f>VLOOKUP($D9,'2.2 KT-THUONG'!$C:$R,'2.2 KT-THUONG'!K$5,0)</f>
        <v>300000</v>
      </c>
      <c r="Z9" s="138">
        <f>VLOOKUP($D9,'2.2 KT-THUONG'!$C:$R,'2.2 KT-THUONG'!L$5,0)</f>
        <v>3000000</v>
      </c>
      <c r="AA9" s="138">
        <f>VLOOKUP($D9,'2.2 KT-THUONG'!$C:$R,'2.2 KT-THUONG'!M$5,0)</f>
        <v>300000</v>
      </c>
      <c r="AB9" s="138">
        <f>VLOOKUP($D9,'2.2 KT-THUONG'!$C:$R,'2.2 KT-THUONG'!N$5,0)</f>
        <v>0</v>
      </c>
      <c r="AC9" s="138">
        <f>VLOOKUP($D9,'2.2 KT-THUONG'!$C:$R,'2.2 KT-THUONG'!O$5,0)</f>
        <v>30000000</v>
      </c>
      <c r="AD9" s="138">
        <f>VLOOKUP($D9,'2.2 KT-THUONG'!$C:$R,'2.2 KT-THUONG'!P$5,0)</f>
        <v>0</v>
      </c>
      <c r="AE9" s="138">
        <f>VLOOKUP($D9,'2.2 KT-THUONG'!$C:$R,'2.2 KT-THUONG'!Q$5,0)</f>
        <v>50000000</v>
      </c>
      <c r="AF9" s="138">
        <f>VLOOKUP($D9,'2.2 KT-THUONG'!$C:$R,'2.2 KT-THUONG'!R$5,0)</f>
        <v>0</v>
      </c>
      <c r="AG9" s="138"/>
      <c r="AH9" s="139">
        <f t="shared" si="3"/>
        <v>86948666.666666657</v>
      </c>
      <c r="AI9" s="138">
        <f>VLOOKUP(D9,'3.5 ERP-THUE TNCN'!C:AF,30,0)</f>
        <v>2767399.9999999991</v>
      </c>
      <c r="AJ9" s="138">
        <f>VLOOKUP(D9,'3.4 ERP-BHXH'!C:X,21,0)</f>
        <v>315000</v>
      </c>
      <c r="AK9" s="138">
        <f>VLOOKUP(D9,'3.4 ERP-BHXH'!C:X,22,0)</f>
        <v>30000</v>
      </c>
      <c r="AL9" s="138">
        <f>VLOOKUP($D9,'1.2 HR-Data luong'!$B:$BE,'1.2 HR-Data luong'!BE$5,0)</f>
        <v>30000</v>
      </c>
      <c r="AM9" s="138">
        <f>VLOOKUP($D9,'1.2 HR-Data luong'!$B:$BE,'1.2 HR-Data luong'!AM$5,0)</f>
        <v>0</v>
      </c>
      <c r="AN9" s="138">
        <f>VLOOKUP($D9,'1.2 HR-Data luong'!$B:$BE,'1.2 HR-Data luong'!AN$5,0)</f>
        <v>0</v>
      </c>
      <c r="AO9" s="138">
        <f>VLOOKUP(D9,'2.3 KT-GIAM TRU'!C:S,16,0)</f>
        <v>0</v>
      </c>
      <c r="AP9" s="138">
        <f>VLOOKUP(D9,'2.3 KT-GIAM TRU'!C:S,15,0)</f>
        <v>0</v>
      </c>
      <c r="AQ9" s="139">
        <f t="shared" si="4"/>
        <v>83806266.666666657</v>
      </c>
      <c r="AR9" s="142">
        <v>0</v>
      </c>
      <c r="AS9" s="138">
        <f t="shared" si="6"/>
        <v>0</v>
      </c>
      <c r="AT9" s="139"/>
      <c r="AU9" s="138"/>
      <c r="AV9" s="138"/>
      <c r="AW9" s="139"/>
      <c r="AX9" s="138"/>
      <c r="AY9" s="138"/>
      <c r="AZ9" s="139"/>
      <c r="BA9" s="138"/>
      <c r="BB9" s="138"/>
      <c r="BC9" s="139"/>
      <c r="BD9" s="138" t="s">
        <v>292</v>
      </c>
      <c r="BE9" s="138">
        <f>AQ9-SUM(AS9,AV9,AY9,BB9)</f>
        <v>83806266.666666657</v>
      </c>
      <c r="BF9" s="139">
        <f t="shared" si="7"/>
        <v>0</v>
      </c>
      <c r="BG9" s="138"/>
      <c r="BH9" s="138"/>
      <c r="BI9" s="138" t="str">
        <f>VLOOKUP(D9,'1.1 HR-Ho so nhan su'!B:AR,39,0)</f>
        <v>2. TPB</v>
      </c>
      <c r="BJ9" s="138" t="str">
        <f>VLOOKUP(D9,'1.1 HR-Ho so nhan su'!B:AR,40,0)</f>
        <v>TPB003</v>
      </c>
      <c r="BK9" s="138" t="str">
        <f>VLOOKUP(D9,'1.1 HR-Ho so nhan su'!B:AR,41,0)</f>
        <v>Nguyễn Văn C</v>
      </c>
      <c r="BL9" s="138" t="str">
        <f>VLOOKUP(D9,'1.1 HR-Ho so nhan su'!B:AR,42,0)</f>
        <v>KHB</v>
      </c>
      <c r="BM9" s="138" t="str">
        <f>VLOOKUP(D9,'1.1 HR-Ho so nhan su'!B:AR,43,0)</f>
        <v>HN</v>
      </c>
      <c r="BN9" s="138">
        <f>VLOOKUP(D9,'1.1 HR-Ho so nhan su'!B:AS,44,0)</f>
        <v>0</v>
      </c>
    </row>
    <row r="10" spans="1:66" x14ac:dyDescent="0.25">
      <c r="A10" s="136">
        <v>2017.07</v>
      </c>
      <c r="B10" s="136">
        <v>4</v>
      </c>
      <c r="C10" s="136" t="s">
        <v>302</v>
      </c>
      <c r="D10" s="136" t="str">
        <f>VLOOKUP($B10,'1.2 HR-Data luong'!$A:$AD,'1.2 HR-Data luong'!B$5+1,0)</f>
        <v>ADS04</v>
      </c>
      <c r="E10" s="136" t="str">
        <f>VLOOKUP($B10,'1.2 HR-Data luong'!$A:$AD,'1.2 HR-Data luong'!C$5+1,0)</f>
        <v>BD02 HN</v>
      </c>
      <c r="F10" s="136" t="str">
        <f>VLOOKUP($B10,'1.2 HR-Data luong'!$A:$AD,'1.2 HR-Data luong'!D$5+1,0)</f>
        <v>NguyenVanD</v>
      </c>
      <c r="G10" s="136" t="str">
        <f>VLOOKUP($B10,'1.2 HR-Data luong'!$A:$AD,'1.2 HR-Data luong'!E$5+1,0)</f>
        <v>Nguyễn Văn D</v>
      </c>
      <c r="H10" s="136" t="str">
        <f>VLOOKUP($B10,'1.2 HR-Data luong'!$A:$AD,'1.2 HR-Data luong'!F$5+1,0)</f>
        <v>HN</v>
      </c>
      <c r="I10" s="136" t="str">
        <f>VLOOKUP($B10,'1.2 HR-Data luong'!$A:$AD,'1.2 HR-Data luong'!G$5+1,0)</f>
        <v>Nhân viên</v>
      </c>
      <c r="J10" s="136" t="str">
        <f>VLOOKUP($B10,'1.2 HR-Data luong'!$A:$AD,'1.2 HR-Data luong'!H$5+1,0)</f>
        <v>C2</v>
      </c>
      <c r="K10" s="136" t="str">
        <f>VLOOKUP($B10,'1.2 HR-Data luong'!$A:$AD,'1.2 HR-Data luong'!I$5+1,0)</f>
        <v>CT</v>
      </c>
      <c r="L10" s="136" t="str">
        <f>VLOOKUP($B10,'1.2 HR-Data luong'!$A:$AD,'1.2 HR-Data luong'!J$5+1,0)</f>
        <v>dnv@novaon.vn</v>
      </c>
      <c r="M10" s="136" t="str">
        <f>VLOOKUP($B10,'1.2 HR-Data luong'!$A:$AD,'1.2 HR-Data luong'!K$5+1,0)</f>
        <v>cnv@novaon.vn</v>
      </c>
      <c r="N10" s="137" t="str">
        <f>VLOOKUP($D10,'1.2 HR-Data luong'!$B:$BG,'1.2 HR-Data luong'!BF$5,0)</f>
        <v>ON</v>
      </c>
      <c r="O10" s="138">
        <f>VLOOKUP(D10,'3.1 ERP-MUC LUONG'!C:R,16,0)</f>
        <v>4390243.9024390243</v>
      </c>
      <c r="P10" s="138">
        <f>VLOOKUP(D10,'3.2 ERP-PC THAM NIEN'!C:AK,35,0)</f>
        <v>160000</v>
      </c>
      <c r="Q10" s="139">
        <f t="shared" si="0"/>
        <v>4550243.9024390243</v>
      </c>
      <c r="R10" s="138">
        <f>VLOOKUP(D10,'1.2 HR-Data luong'!B:AK,34,0)</f>
        <v>0</v>
      </c>
      <c r="S10" s="138">
        <f>VLOOKUP(D10,'3.3 ERP-PC LAPTOP va PC BD'!C:O,13,0)</f>
        <v>146341.46341463414</v>
      </c>
      <c r="T10" s="138">
        <f>VLOOKUP(D10,'3.3 ERP-PC LAPTOP va PC BD'!C:T,18,0)</f>
        <v>146341.46341463414</v>
      </c>
      <c r="U10" s="138">
        <v>0</v>
      </c>
      <c r="V10" s="140">
        <f>VLOOKUP(D10,'1.2 HR-Data luong'!B:R,17,0)</f>
        <v>20.5</v>
      </c>
      <c r="W10" s="141">
        <f t="shared" si="1"/>
        <v>4145777.7777777775</v>
      </c>
      <c r="X10" s="139">
        <f t="shared" si="2"/>
        <v>266666.66666666669</v>
      </c>
      <c r="Y10" s="138">
        <f>VLOOKUP($D10,'2.2 KT-THUONG'!$C:$R,'2.2 KT-THUONG'!K$5,0)</f>
        <v>300000</v>
      </c>
      <c r="Z10" s="138">
        <f>VLOOKUP($D10,'2.2 KT-THUONG'!$C:$R,'2.2 KT-THUONG'!L$5,0)</f>
        <v>4000000</v>
      </c>
      <c r="AA10" s="138">
        <f>VLOOKUP($D10,'2.2 KT-THUONG'!$C:$R,'2.2 KT-THUONG'!M$5,0)</f>
        <v>400000</v>
      </c>
      <c r="AB10" s="138">
        <f>VLOOKUP($D10,'2.2 KT-THUONG'!$C:$R,'2.2 KT-THUONG'!N$5,0)</f>
        <v>0</v>
      </c>
      <c r="AC10" s="138">
        <f>VLOOKUP($D10,'2.2 KT-THUONG'!$C:$R,'2.2 KT-THUONG'!O$5,0)</f>
        <v>40000000</v>
      </c>
      <c r="AD10" s="138">
        <f>VLOOKUP($D10,'2.2 KT-THUONG'!$C:$R,'2.2 KT-THUONG'!P$5,0)</f>
        <v>0</v>
      </c>
      <c r="AE10" s="138">
        <f>VLOOKUP($D10,'2.2 KT-THUONG'!$C:$R,'2.2 KT-THUONG'!Q$5,0)</f>
        <v>50000000</v>
      </c>
      <c r="AF10" s="138">
        <f>VLOOKUP($D10,'2.2 KT-THUONG'!$C:$R,'2.2 KT-THUONG'!R$5,0)</f>
        <v>0</v>
      </c>
      <c r="AG10" s="138"/>
      <c r="AH10" s="139">
        <f t="shared" si="3"/>
        <v>99112444.444444448</v>
      </c>
      <c r="AI10" s="138">
        <f>VLOOKUP(D10,'3.5 ERP-THUE TNCN'!C:AF,30,0)</f>
        <v>6536444.4444444459</v>
      </c>
      <c r="AJ10" s="138">
        <f>VLOOKUP(D10,'3.4 ERP-BHXH'!C:X,21,0)</f>
        <v>420000</v>
      </c>
      <c r="AK10" s="138">
        <f>VLOOKUP(D10,'3.4 ERP-BHXH'!C:X,22,0)</f>
        <v>40000</v>
      </c>
      <c r="AL10" s="138">
        <f>VLOOKUP($D10,'1.2 HR-Data luong'!$B:$BE,'1.2 HR-Data luong'!BE$5,0)</f>
        <v>0</v>
      </c>
      <c r="AM10" s="138">
        <f>VLOOKUP($D10,'1.2 HR-Data luong'!$B:$BE,'1.2 HR-Data luong'!AM$5,0)</f>
        <v>0</v>
      </c>
      <c r="AN10" s="138">
        <f>VLOOKUP($D10,'1.2 HR-Data luong'!$B:$BE,'1.2 HR-Data luong'!AN$5,0)</f>
        <v>0</v>
      </c>
      <c r="AO10" s="138">
        <f>VLOOKUP(D10,'2.3 KT-GIAM TRU'!C:S,16,0)</f>
        <v>0</v>
      </c>
      <c r="AP10" s="138">
        <f>VLOOKUP(D10,'2.3 KT-GIAM TRU'!C:S,15,0)</f>
        <v>0</v>
      </c>
      <c r="AQ10" s="139">
        <f t="shared" si="4"/>
        <v>92116000</v>
      </c>
      <c r="AR10" s="142" t="str">
        <f t="shared" si="5"/>
        <v>X</v>
      </c>
      <c r="AS10" s="138">
        <f t="shared" si="6"/>
        <v>92116000</v>
      </c>
      <c r="AT10" s="139" t="s">
        <v>352</v>
      </c>
      <c r="AU10" s="138"/>
      <c r="AV10" s="138"/>
      <c r="AW10" s="139"/>
      <c r="AX10" s="138"/>
      <c r="AY10" s="138"/>
      <c r="AZ10" s="139"/>
      <c r="BA10" s="138"/>
      <c r="BB10" s="138"/>
      <c r="BC10" s="139"/>
      <c r="BD10" s="138"/>
      <c r="BE10" s="138"/>
      <c r="BF10" s="139">
        <f t="shared" si="7"/>
        <v>0</v>
      </c>
      <c r="BG10" s="138"/>
      <c r="BH10" s="138"/>
      <c r="BI10" s="138" t="str">
        <f>VLOOKUP(D10,'1.1 HR-Ho so nhan su'!B:AR,39,0)</f>
        <v>2. TPB</v>
      </c>
      <c r="BJ10" s="138" t="str">
        <f>VLOOKUP(D10,'1.1 HR-Ho so nhan su'!B:AR,40,0)</f>
        <v>TPB004</v>
      </c>
      <c r="BK10" s="138" t="str">
        <f>VLOOKUP(D10,'1.1 HR-Ho so nhan su'!B:AR,41,0)</f>
        <v>Nguyễn Văn D</v>
      </c>
      <c r="BL10" s="138" t="str">
        <f>VLOOKUP(D10,'1.1 HR-Ho so nhan su'!B:AR,42,0)</f>
        <v>KHB</v>
      </c>
      <c r="BM10" s="138" t="str">
        <f>VLOOKUP(D10,'1.1 HR-Ho so nhan su'!B:AR,43,0)</f>
        <v>HN</v>
      </c>
      <c r="BN10" s="138">
        <f>VLOOKUP(D10,'1.1 HR-Ho so nhan su'!B:AS,44,0)</f>
        <v>0</v>
      </c>
    </row>
    <row r="11" spans="1:66" x14ac:dyDescent="0.25">
      <c r="A11" s="136">
        <v>2017.07</v>
      </c>
      <c r="B11" s="136">
        <v>5</v>
      </c>
      <c r="C11" s="136" t="s">
        <v>302</v>
      </c>
      <c r="D11" s="136" t="str">
        <f>VLOOKUP($B11,'1.2 HR-Data luong'!$A:$AD,'1.2 HR-Data luong'!B$5+1,0)</f>
        <v>ADS05</v>
      </c>
      <c r="E11" s="136" t="str">
        <f>VLOOKUP($B11,'1.2 HR-Data luong'!$A:$AD,'1.2 HR-Data luong'!C$5+1,0)</f>
        <v>BD02 HN</v>
      </c>
      <c r="F11" s="136" t="str">
        <f>VLOOKUP($B11,'1.2 HR-Data luong'!$A:$AD,'1.2 HR-Data luong'!D$5+1,0)</f>
        <v>NguyenVanE</v>
      </c>
      <c r="G11" s="136" t="str">
        <f>VLOOKUP($B11,'1.2 HR-Data luong'!$A:$AD,'1.2 HR-Data luong'!E$5+1,0)</f>
        <v>Nguyễn Văn E</v>
      </c>
      <c r="H11" s="136" t="str">
        <f>VLOOKUP($B11,'1.2 HR-Data luong'!$A:$AD,'1.2 HR-Data luong'!F$5+1,0)</f>
        <v>HN</v>
      </c>
      <c r="I11" s="136" t="str">
        <f>VLOOKUP($B11,'1.2 HR-Data luong'!$A:$AD,'1.2 HR-Data luong'!G$5+1,0)</f>
        <v>Nhân viên</v>
      </c>
      <c r="J11" s="136" t="str">
        <f>VLOOKUP($B11,'1.2 HR-Data luong'!$A:$AD,'1.2 HR-Data luong'!H$5+1,0)</f>
        <v>C3</v>
      </c>
      <c r="K11" s="136" t="str">
        <f>VLOOKUP($B11,'1.2 HR-Data luong'!$A:$AD,'1.2 HR-Data luong'!I$5+1,0)</f>
        <v>CT</v>
      </c>
      <c r="L11" s="136" t="str">
        <f>VLOOKUP($B11,'1.2 HR-Data luong'!$A:$AD,'1.2 HR-Data luong'!J$5+1,0)</f>
        <v>env@novaon.vn</v>
      </c>
      <c r="M11" s="136" t="str">
        <f>VLOOKUP($B11,'1.2 HR-Data luong'!$A:$AD,'1.2 HR-Data luong'!K$5+1,0)</f>
        <v>cnv@novaon.vn</v>
      </c>
      <c r="N11" s="137" t="str">
        <f>VLOOKUP($D11,'1.2 HR-Data luong'!$B:$BG,'1.2 HR-Data luong'!BF$5,0)</f>
        <v>ON</v>
      </c>
      <c r="O11" s="138">
        <f>VLOOKUP(D11,'3.1 ERP-MUC LUONG'!C:R,16,0)</f>
        <v>10487804.878048781</v>
      </c>
      <c r="P11" s="138">
        <f>VLOOKUP(D11,'3.2 ERP-PC THAM NIEN'!C:AK,35,0)</f>
        <v>571111.11111111112</v>
      </c>
      <c r="Q11" s="139">
        <f t="shared" si="0"/>
        <v>11058915.989159893</v>
      </c>
      <c r="R11" s="138">
        <f>VLOOKUP(D11,'1.2 HR-Data luong'!B:AK,34,0)</f>
        <v>0</v>
      </c>
      <c r="S11" s="138">
        <f>VLOOKUP(D11,'3.3 ERP-PC LAPTOP va PC BD'!C:O,13,0)</f>
        <v>219512.19512195123</v>
      </c>
      <c r="T11" s="138">
        <f>VLOOKUP(D11,'3.3 ERP-PC LAPTOP va PC BD'!C:T,18,0)</f>
        <v>219512.19512195123</v>
      </c>
      <c r="U11" s="138">
        <v>0</v>
      </c>
      <c r="V11" s="140">
        <f>VLOOKUP(D11,'1.2 HR-Data luong'!B:R,17,0)</f>
        <v>20.5</v>
      </c>
      <c r="W11" s="141">
        <f t="shared" si="1"/>
        <v>10075901.234567903</v>
      </c>
      <c r="X11" s="139">
        <f t="shared" si="2"/>
        <v>400000</v>
      </c>
      <c r="Y11" s="138">
        <f>VLOOKUP($D11,'2.2 KT-THUONG'!$C:$R,'2.2 KT-THUONG'!K$5,0)</f>
        <v>300000</v>
      </c>
      <c r="Z11" s="138">
        <f>VLOOKUP($D11,'2.2 KT-THUONG'!$C:$R,'2.2 KT-THUONG'!L$5,0)</f>
        <v>5000000</v>
      </c>
      <c r="AA11" s="138">
        <f>VLOOKUP($D11,'2.2 KT-THUONG'!$C:$R,'2.2 KT-THUONG'!M$5,0)</f>
        <v>500000</v>
      </c>
      <c r="AB11" s="138">
        <f>VLOOKUP($D11,'2.2 KT-THUONG'!$C:$R,'2.2 KT-THUONG'!N$5,0)</f>
        <v>0</v>
      </c>
      <c r="AC11" s="138">
        <f>VLOOKUP($D11,'2.2 KT-THUONG'!$C:$R,'2.2 KT-THUONG'!O$5,0)</f>
        <v>50000000</v>
      </c>
      <c r="AD11" s="138">
        <f>VLOOKUP($D11,'2.2 KT-THUONG'!$C:$R,'2.2 KT-THUONG'!P$5,0)</f>
        <v>0</v>
      </c>
      <c r="AE11" s="138">
        <f>VLOOKUP($D11,'2.2 KT-THUONG'!$C:$R,'2.2 KT-THUONG'!Q$5,0)</f>
        <v>50000000</v>
      </c>
      <c r="AF11" s="138">
        <f>VLOOKUP($D11,'2.2 KT-THUONG'!$C:$R,'2.2 KT-THUONG'!R$5,0)</f>
        <v>0</v>
      </c>
      <c r="AG11" s="138"/>
      <c r="AH11" s="139">
        <f t="shared" si="3"/>
        <v>116275901.23456791</v>
      </c>
      <c r="AI11" s="138">
        <f>VLOOKUP(D11,'3.5 ERP-THUE TNCN'!C:AF,30,0)</f>
        <v>10979770.370370373</v>
      </c>
      <c r="AJ11" s="138">
        <f>VLOOKUP(D11,'3.4 ERP-BHXH'!C:X,21,0)</f>
        <v>630000</v>
      </c>
      <c r="AK11" s="138">
        <f>VLOOKUP(D11,'3.4 ERP-BHXH'!C:X,22,0)</f>
        <v>60000</v>
      </c>
      <c r="AL11" s="138">
        <f>VLOOKUP($D11,'1.2 HR-Data luong'!$B:$BE,'1.2 HR-Data luong'!BE$5,0)</f>
        <v>0</v>
      </c>
      <c r="AM11" s="138">
        <f>VLOOKUP($D11,'1.2 HR-Data luong'!$B:$BE,'1.2 HR-Data luong'!AM$5,0)</f>
        <v>0</v>
      </c>
      <c r="AN11" s="138">
        <f>VLOOKUP($D11,'1.2 HR-Data luong'!$B:$BE,'1.2 HR-Data luong'!AN$5,0)</f>
        <v>0</v>
      </c>
      <c r="AO11" s="138">
        <f>VLOOKUP(D11,'2.3 KT-GIAM TRU'!C:S,16,0)</f>
        <v>0</v>
      </c>
      <c r="AP11" s="138">
        <f>VLOOKUP(D11,'2.3 KT-GIAM TRU'!C:S,15,0)</f>
        <v>0</v>
      </c>
      <c r="AQ11" s="139">
        <f t="shared" si="4"/>
        <v>104606130.86419754</v>
      </c>
      <c r="AR11" s="142" t="str">
        <f t="shared" si="5"/>
        <v>X</v>
      </c>
      <c r="AS11" s="138">
        <f t="shared" si="6"/>
        <v>104606130.86419754</v>
      </c>
      <c r="AT11" s="139" t="s">
        <v>352</v>
      </c>
      <c r="AU11" s="138"/>
      <c r="AV11" s="138"/>
      <c r="AW11" s="139"/>
      <c r="AX11" s="138"/>
      <c r="AY11" s="138"/>
      <c r="AZ11" s="139"/>
      <c r="BA11" s="138"/>
      <c r="BB11" s="138"/>
      <c r="BC11" s="139"/>
      <c r="BD11" s="138"/>
      <c r="BE11" s="138"/>
      <c r="BF11" s="139">
        <f t="shared" si="7"/>
        <v>0</v>
      </c>
      <c r="BG11" s="138"/>
      <c r="BH11" s="138"/>
      <c r="BI11" s="138" t="str">
        <f>VLOOKUP(D11,'1.1 HR-Ho so nhan su'!B:AR,39,0)</f>
        <v>2. TPB</v>
      </c>
      <c r="BJ11" s="138" t="str">
        <f>VLOOKUP(D11,'1.1 HR-Ho so nhan su'!B:AR,40,0)</f>
        <v>TPB005</v>
      </c>
      <c r="BK11" s="138" t="str">
        <f>VLOOKUP(D11,'1.1 HR-Ho so nhan su'!B:AR,41,0)</f>
        <v>Nguyễn Văn E</v>
      </c>
      <c r="BL11" s="138" t="str">
        <f>VLOOKUP(D11,'1.1 HR-Ho so nhan su'!B:AR,42,0)</f>
        <v>KHB</v>
      </c>
      <c r="BM11" s="138" t="str">
        <f>VLOOKUP(D11,'1.1 HR-Ho so nhan su'!B:AR,43,0)</f>
        <v>HN</v>
      </c>
      <c r="BN11" s="138">
        <f>VLOOKUP(D11,'1.1 HR-Ho so nhan su'!B:AS,44,0)</f>
        <v>0</v>
      </c>
    </row>
    <row r="12" spans="1:66" x14ac:dyDescent="0.25">
      <c r="A12" s="136">
        <v>2017.07</v>
      </c>
      <c r="B12" s="136">
        <v>6</v>
      </c>
      <c r="C12" s="136" t="s">
        <v>302</v>
      </c>
      <c r="D12" s="136" t="str">
        <f>VLOOKUP($B12,'1.2 HR-Data luong'!$A:$AD,'1.2 HR-Data luong'!B$5+1,0)</f>
        <v>ADS06</v>
      </c>
      <c r="E12" s="136" t="str">
        <f>VLOOKUP($B12,'1.2 HR-Data luong'!$A:$AD,'1.2 HR-Data luong'!C$5+1,0)</f>
        <v>BD03 SG</v>
      </c>
      <c r="F12" s="136" t="str">
        <f>VLOOKUP($B12,'1.2 HR-Data luong'!$A:$AD,'1.2 HR-Data luong'!D$5+1,0)</f>
        <v>NguyenVanF</v>
      </c>
      <c r="G12" s="136" t="str">
        <f>VLOOKUP($B12,'1.2 HR-Data luong'!$A:$AD,'1.2 HR-Data luong'!E$5+1,0)</f>
        <v>Nguyễn Văn F</v>
      </c>
      <c r="H12" s="136" t="str">
        <f>VLOOKUP($B12,'1.2 HR-Data luong'!$A:$AD,'1.2 HR-Data luong'!F$5+1,0)</f>
        <v>HCM</v>
      </c>
      <c r="I12" s="136" t="str">
        <f>VLOOKUP($B12,'1.2 HR-Data luong'!$A:$AD,'1.2 HR-Data luong'!G$5+1,0)</f>
        <v>Trưởng phòng</v>
      </c>
      <c r="J12" s="136" t="str">
        <f>VLOOKUP($B12,'1.2 HR-Data luong'!$A:$AD,'1.2 HR-Data luong'!H$5+1,0)</f>
        <v>TP C3</v>
      </c>
      <c r="K12" s="136" t="str">
        <f>VLOOKUP($B12,'1.2 HR-Data luong'!$A:$AD,'1.2 HR-Data luong'!I$5+1,0)</f>
        <v>CT</v>
      </c>
      <c r="L12" s="136" t="str">
        <f>VLOOKUP($B12,'1.2 HR-Data luong'!$A:$AD,'1.2 HR-Data luong'!J$5+1,0)</f>
        <v>fnv@novaon.vn</v>
      </c>
      <c r="M12" s="136" t="str">
        <f>VLOOKUP($B12,'1.2 HR-Data luong'!$A:$AD,'1.2 HR-Data luong'!K$5+1,0)</f>
        <v>bom@novaon.vn</v>
      </c>
      <c r="N12" s="137" t="str">
        <f>VLOOKUP($D12,'1.2 HR-Data luong'!$B:$BG,'1.2 HR-Data luong'!BF$5,0)</f>
        <v>ON</v>
      </c>
      <c r="O12" s="138">
        <f>VLOOKUP(D12,'3.1 ERP-MUC LUONG'!C:R,16,0)</f>
        <v>6000000</v>
      </c>
      <c r="P12" s="138">
        <f>VLOOKUP(D12,'3.2 ERP-PC THAM NIEN'!C:AK,35,0)</f>
        <v>360000</v>
      </c>
      <c r="Q12" s="139">
        <f t="shared" si="0"/>
        <v>6360000</v>
      </c>
      <c r="R12" s="138">
        <f>VLOOKUP(D12,'1.2 HR-Data luong'!B:AK,34,0)</f>
        <v>0</v>
      </c>
      <c r="S12" s="138">
        <f>VLOOKUP(D12,'3.3 ERP-PC LAPTOP va PC BD'!C:O,13,0)</f>
        <v>200000</v>
      </c>
      <c r="T12" s="138">
        <f>VLOOKUP(D12,'3.3 ERP-PC LAPTOP va PC BD'!C:T,18,0)</f>
        <v>200000</v>
      </c>
      <c r="U12" s="138">
        <v>0</v>
      </c>
      <c r="V12" s="140">
        <f>VLOOKUP(D12,'1.2 HR-Data luong'!B:R,17,0)</f>
        <v>22.5</v>
      </c>
      <c r="W12" s="141">
        <f t="shared" si="1"/>
        <v>6360000</v>
      </c>
      <c r="X12" s="139">
        <f t="shared" si="2"/>
        <v>400000</v>
      </c>
      <c r="Y12" s="138">
        <f>VLOOKUP($D12,'2.2 KT-THUONG'!$C:$R,'2.2 KT-THUONG'!K$5,0)</f>
        <v>300000</v>
      </c>
      <c r="Z12" s="138">
        <f>VLOOKUP($D12,'2.2 KT-THUONG'!$C:$R,'2.2 KT-THUONG'!L$5,0)</f>
        <v>6000000</v>
      </c>
      <c r="AA12" s="138">
        <f>VLOOKUP($D12,'2.2 KT-THUONG'!$C:$R,'2.2 KT-THUONG'!M$5,0)</f>
        <v>600000</v>
      </c>
      <c r="AB12" s="138">
        <f>VLOOKUP($D12,'2.2 KT-THUONG'!$C:$R,'2.2 KT-THUONG'!N$5,0)</f>
        <v>0</v>
      </c>
      <c r="AC12" s="138">
        <f>VLOOKUP($D12,'2.2 KT-THUONG'!$C:$R,'2.2 KT-THUONG'!O$5,0)</f>
        <v>60000000</v>
      </c>
      <c r="AD12" s="138">
        <f>VLOOKUP($D12,'2.2 KT-THUONG'!$C:$R,'2.2 KT-THUONG'!P$5,0)</f>
        <v>0</v>
      </c>
      <c r="AE12" s="138">
        <f>VLOOKUP($D12,'2.2 KT-THUONG'!$C:$R,'2.2 KT-THUONG'!Q$5,0)</f>
        <v>50000000</v>
      </c>
      <c r="AF12" s="138">
        <f>VLOOKUP($D12,'2.2 KT-THUONG'!$C:$R,'2.2 KT-THUONG'!R$5,0)</f>
        <v>0</v>
      </c>
      <c r="AG12" s="138"/>
      <c r="AH12" s="139">
        <f t="shared" si="3"/>
        <v>123660000</v>
      </c>
      <c r="AI12" s="138">
        <f>VLOOKUP(D12,'3.5 ERP-THUE TNCN'!C:AF,30,0)</f>
        <v>13179000</v>
      </c>
      <c r="AJ12" s="138">
        <f>VLOOKUP(D12,'3.4 ERP-BHXH'!C:X,21,0)</f>
        <v>630000</v>
      </c>
      <c r="AK12" s="138">
        <f>VLOOKUP(D12,'3.4 ERP-BHXH'!C:X,22,0)</f>
        <v>60000</v>
      </c>
      <c r="AL12" s="138">
        <f>VLOOKUP($D12,'1.2 HR-Data luong'!$B:$BE,'1.2 HR-Data luong'!BE$5,0)</f>
        <v>0</v>
      </c>
      <c r="AM12" s="138">
        <f>VLOOKUP($D12,'1.2 HR-Data luong'!$B:$BE,'1.2 HR-Data luong'!AM$5,0)</f>
        <v>0</v>
      </c>
      <c r="AN12" s="138">
        <f>VLOOKUP($D12,'1.2 HR-Data luong'!$B:$BE,'1.2 HR-Data luong'!AN$5,0)</f>
        <v>0</v>
      </c>
      <c r="AO12" s="138">
        <f>VLOOKUP(D12,'2.3 KT-GIAM TRU'!C:S,16,0)</f>
        <v>0</v>
      </c>
      <c r="AP12" s="138">
        <f>VLOOKUP(D12,'2.3 KT-GIAM TRU'!C:S,15,0)</f>
        <v>0</v>
      </c>
      <c r="AQ12" s="139">
        <f t="shared" si="4"/>
        <v>109791000</v>
      </c>
      <c r="AR12" s="142" t="str">
        <f t="shared" si="5"/>
        <v>X</v>
      </c>
      <c r="AS12" s="138">
        <f t="shared" si="6"/>
        <v>109791000</v>
      </c>
      <c r="AT12" s="139" t="s">
        <v>352</v>
      </c>
      <c r="AU12" s="138"/>
      <c r="AV12" s="138"/>
      <c r="AW12" s="139"/>
      <c r="AX12" s="138"/>
      <c r="AY12" s="138"/>
      <c r="AZ12" s="139"/>
      <c r="BA12" s="138"/>
      <c r="BB12" s="138"/>
      <c r="BC12" s="139"/>
      <c r="BD12" s="138"/>
      <c r="BE12" s="138"/>
      <c r="BF12" s="139">
        <f t="shared" si="7"/>
        <v>0</v>
      </c>
      <c r="BG12" s="138"/>
      <c r="BH12" s="138"/>
      <c r="BI12" s="138" t="str">
        <f>VLOOKUP(D12,'1.1 HR-Ho so nhan su'!B:AR,39,0)</f>
        <v>2. TPB</v>
      </c>
      <c r="BJ12" s="138" t="str">
        <f>VLOOKUP(D12,'1.1 HR-Ho so nhan su'!B:AR,40,0)</f>
        <v>TPB006</v>
      </c>
      <c r="BK12" s="138" t="str">
        <f>VLOOKUP(D12,'1.1 HR-Ho so nhan su'!B:AR,41,0)</f>
        <v>Nguyễn Văn F</v>
      </c>
      <c r="BL12" s="138" t="str">
        <f>VLOOKUP(D12,'1.1 HR-Ho so nhan su'!B:AR,42,0)</f>
        <v>KHB</v>
      </c>
      <c r="BM12" s="138" t="str">
        <f>VLOOKUP(D12,'1.1 HR-Ho so nhan su'!B:AR,43,0)</f>
        <v>HN</v>
      </c>
      <c r="BN12" s="138">
        <f>VLOOKUP(D12,'1.1 HR-Ho so nhan su'!B:AS,44,0)</f>
        <v>0</v>
      </c>
    </row>
    <row r="13" spans="1:66" x14ac:dyDescent="0.25">
      <c r="A13" s="136">
        <v>2017.07</v>
      </c>
      <c r="B13" s="136">
        <v>7</v>
      </c>
      <c r="C13" s="136" t="s">
        <v>302</v>
      </c>
      <c r="D13" s="136" t="str">
        <f>VLOOKUP($B13,'1.2 HR-Data luong'!$A:$AD,'1.2 HR-Data luong'!B$5+1,0)</f>
        <v>ADS07</v>
      </c>
      <c r="E13" s="136" t="str">
        <f>VLOOKUP($B13,'1.2 HR-Data luong'!$A:$AD,'1.2 HR-Data luong'!C$5+1,0)</f>
        <v>BD03 SG</v>
      </c>
      <c r="F13" s="136" t="str">
        <f>VLOOKUP($B13,'1.2 HR-Data luong'!$A:$AD,'1.2 HR-Data luong'!D$5+1,0)</f>
        <v>NguyenVanG</v>
      </c>
      <c r="G13" s="136" t="str">
        <f>VLOOKUP($B13,'1.2 HR-Data luong'!$A:$AD,'1.2 HR-Data luong'!E$5+1,0)</f>
        <v>Nguyễn Văn G</v>
      </c>
      <c r="H13" s="136" t="str">
        <f>VLOOKUP($B13,'1.2 HR-Data luong'!$A:$AD,'1.2 HR-Data luong'!F$5+1,0)</f>
        <v>HCM</v>
      </c>
      <c r="I13" s="136" t="str">
        <f>VLOOKUP($B13,'1.2 HR-Data luong'!$A:$AD,'1.2 HR-Data luong'!G$5+1,0)</f>
        <v>Nhân viên</v>
      </c>
      <c r="J13" s="136" t="str">
        <f>VLOOKUP($B13,'1.2 HR-Data luong'!$A:$AD,'1.2 HR-Data luong'!H$5+1,0)</f>
        <v>C4</v>
      </c>
      <c r="K13" s="136" t="str">
        <f>VLOOKUP($B13,'1.2 HR-Data luong'!$A:$AD,'1.2 HR-Data luong'!I$5+1,0)</f>
        <v>CT</v>
      </c>
      <c r="L13" s="136" t="str">
        <f>VLOOKUP($B13,'1.2 HR-Data luong'!$A:$AD,'1.2 HR-Data luong'!J$5+1,0)</f>
        <v>gnv@novaon.vn</v>
      </c>
      <c r="M13" s="136" t="str">
        <f>VLOOKUP($B13,'1.2 HR-Data luong'!$A:$AD,'1.2 HR-Data luong'!K$5+1,0)</f>
        <v>fnv@novaon.vn</v>
      </c>
      <c r="N13" s="137" t="str">
        <f>VLOOKUP($D13,'1.2 HR-Data luong'!$B:$BG,'1.2 HR-Data luong'!BF$5,0)</f>
        <v>ON</v>
      </c>
      <c r="O13" s="138">
        <f>VLOOKUP(D13,'3.1 ERP-MUC LUONG'!C:R,16,0)</f>
        <v>7000000</v>
      </c>
      <c r="P13" s="138">
        <f>VLOOKUP(D13,'3.2 ERP-PC THAM NIEN'!C:AK,35,0)</f>
        <v>490000.00000000006</v>
      </c>
      <c r="Q13" s="139">
        <f t="shared" si="0"/>
        <v>7490000</v>
      </c>
      <c r="R13" s="138">
        <f>VLOOKUP(D13,'1.2 HR-Data luong'!B:AK,34,0)</f>
        <v>0</v>
      </c>
      <c r="S13" s="138">
        <f>VLOOKUP(D13,'3.3 ERP-PC LAPTOP va PC BD'!C:O,13,0)</f>
        <v>200000</v>
      </c>
      <c r="T13" s="138">
        <f>VLOOKUP(D13,'3.3 ERP-PC LAPTOP va PC BD'!C:T,18,0)</f>
        <v>200000</v>
      </c>
      <c r="U13" s="138">
        <v>0</v>
      </c>
      <c r="V13" s="140">
        <f>VLOOKUP(D13,'1.2 HR-Data luong'!B:R,17,0)</f>
        <v>22.5</v>
      </c>
      <c r="W13" s="141">
        <f t="shared" si="1"/>
        <v>7490000</v>
      </c>
      <c r="X13" s="139">
        <f t="shared" si="2"/>
        <v>400000</v>
      </c>
      <c r="Y13" s="138">
        <f>VLOOKUP($D13,'2.2 KT-THUONG'!$C:$R,'2.2 KT-THUONG'!K$5,0)</f>
        <v>300000</v>
      </c>
      <c r="Z13" s="138">
        <f>VLOOKUP($D13,'2.2 KT-THUONG'!$C:$R,'2.2 KT-THUONG'!L$5,0)</f>
        <v>7000000</v>
      </c>
      <c r="AA13" s="138">
        <f>VLOOKUP($D13,'2.2 KT-THUONG'!$C:$R,'2.2 KT-THUONG'!M$5,0)</f>
        <v>700000</v>
      </c>
      <c r="AB13" s="138">
        <f>VLOOKUP($D13,'2.2 KT-THUONG'!$C:$R,'2.2 KT-THUONG'!N$5,0)</f>
        <v>0</v>
      </c>
      <c r="AC13" s="138">
        <f>VLOOKUP($D13,'2.2 KT-THUONG'!$C:$R,'2.2 KT-THUONG'!O$5,0)</f>
        <v>70000000</v>
      </c>
      <c r="AD13" s="138">
        <f>VLOOKUP($D13,'2.2 KT-THUONG'!$C:$R,'2.2 KT-THUONG'!P$5,0)</f>
        <v>0</v>
      </c>
      <c r="AE13" s="138">
        <f>VLOOKUP($D13,'2.2 KT-THUONG'!$C:$R,'2.2 KT-THUONG'!Q$5,0)</f>
        <v>50000000</v>
      </c>
      <c r="AF13" s="138">
        <f>VLOOKUP($D13,'2.2 KT-THUONG'!$C:$R,'2.2 KT-THUONG'!R$5,0)</f>
        <v>0</v>
      </c>
      <c r="AG13" s="138"/>
      <c r="AH13" s="139">
        <f t="shared" si="3"/>
        <v>135890000</v>
      </c>
      <c r="AI13" s="138">
        <f>VLOOKUP(D13,'3.5 ERP-THUE TNCN'!C:AF,30,0)</f>
        <v>16816500</v>
      </c>
      <c r="AJ13" s="138">
        <f>VLOOKUP(D13,'3.4 ERP-BHXH'!C:X,21,0)</f>
        <v>735000</v>
      </c>
      <c r="AK13" s="138">
        <f>VLOOKUP(D13,'3.4 ERP-BHXH'!C:X,22,0)</f>
        <v>70000</v>
      </c>
      <c r="AL13" s="138">
        <f>VLOOKUP($D13,'1.2 HR-Data luong'!$B:$BE,'1.2 HR-Data luong'!BE$5,0)</f>
        <v>0</v>
      </c>
      <c r="AM13" s="138">
        <f>VLOOKUP($D13,'1.2 HR-Data luong'!$B:$BE,'1.2 HR-Data luong'!AM$5,0)</f>
        <v>0</v>
      </c>
      <c r="AN13" s="138">
        <f>VLOOKUP($D13,'1.2 HR-Data luong'!$B:$BE,'1.2 HR-Data luong'!AN$5,0)</f>
        <v>0</v>
      </c>
      <c r="AO13" s="138">
        <f>VLOOKUP(D13,'2.3 KT-GIAM TRU'!C:S,16,0)</f>
        <v>0</v>
      </c>
      <c r="AP13" s="138">
        <f>VLOOKUP(D13,'2.3 KT-GIAM TRU'!C:S,15,0)</f>
        <v>0</v>
      </c>
      <c r="AQ13" s="139">
        <f t="shared" si="4"/>
        <v>118268500</v>
      </c>
      <c r="AR13" s="142" t="str">
        <f t="shared" si="5"/>
        <v>X</v>
      </c>
      <c r="AS13" s="138">
        <f t="shared" si="6"/>
        <v>118268500</v>
      </c>
      <c r="AT13" s="139" t="s">
        <v>352</v>
      </c>
      <c r="AU13" s="138"/>
      <c r="AV13" s="138"/>
      <c r="AW13" s="139"/>
      <c r="AX13" s="138"/>
      <c r="AY13" s="138"/>
      <c r="AZ13" s="139"/>
      <c r="BA13" s="138"/>
      <c r="BB13" s="138"/>
      <c r="BC13" s="139"/>
      <c r="BD13" s="138"/>
      <c r="BE13" s="138"/>
      <c r="BF13" s="139">
        <f t="shared" si="7"/>
        <v>0</v>
      </c>
      <c r="BG13" s="138"/>
      <c r="BH13" s="138"/>
      <c r="BI13" s="138" t="str">
        <f>VLOOKUP(D13,'1.1 HR-Ho so nhan su'!B:AR,39,0)</f>
        <v>2. TPB</v>
      </c>
      <c r="BJ13" s="138" t="str">
        <f>VLOOKUP(D13,'1.1 HR-Ho so nhan su'!B:AR,40,0)</f>
        <v>TPB007</v>
      </c>
      <c r="BK13" s="138" t="str">
        <f>VLOOKUP(D13,'1.1 HR-Ho so nhan su'!B:AR,41,0)</f>
        <v>Nguyễn Văn G</v>
      </c>
      <c r="BL13" s="138" t="str">
        <f>VLOOKUP(D13,'1.1 HR-Ho so nhan su'!B:AR,42,0)</f>
        <v>KHB</v>
      </c>
      <c r="BM13" s="138" t="str">
        <f>VLOOKUP(D13,'1.1 HR-Ho so nhan su'!B:AR,43,0)</f>
        <v>HN</v>
      </c>
      <c r="BN13" s="138">
        <f>VLOOKUP(D13,'1.1 HR-Ho so nhan su'!B:AS,44,0)</f>
        <v>0</v>
      </c>
    </row>
    <row r="14" spans="1:66" x14ac:dyDescent="0.25">
      <c r="A14" s="136">
        <v>2017.07</v>
      </c>
      <c r="B14" s="136">
        <v>8</v>
      </c>
      <c r="C14" s="136" t="s">
        <v>302</v>
      </c>
      <c r="D14" s="136" t="str">
        <f>VLOOKUP($B14,'1.2 HR-Data luong'!$A:$AD,'1.2 HR-Data luong'!B$5+1,0)</f>
        <v>ADS08</v>
      </c>
      <c r="E14" s="136" t="str">
        <f>VLOOKUP($B14,'1.2 HR-Data luong'!$A:$AD,'1.2 HR-Data luong'!C$5+1,0)</f>
        <v>BD03 SG</v>
      </c>
      <c r="F14" s="136" t="str">
        <f>VLOOKUP($B14,'1.2 HR-Data luong'!$A:$AD,'1.2 HR-Data luong'!D$5+1,0)</f>
        <v>NguyenVanH</v>
      </c>
      <c r="G14" s="136" t="str">
        <f>VLOOKUP($B14,'1.2 HR-Data luong'!$A:$AD,'1.2 HR-Data luong'!E$5+1,0)</f>
        <v>Nguyễn Văn H</v>
      </c>
      <c r="H14" s="136" t="str">
        <f>VLOOKUP($B14,'1.2 HR-Data luong'!$A:$AD,'1.2 HR-Data luong'!F$5+1,0)</f>
        <v>HCM</v>
      </c>
      <c r="I14" s="136" t="str">
        <f>VLOOKUP($B14,'1.2 HR-Data luong'!$A:$AD,'1.2 HR-Data luong'!G$5+1,0)</f>
        <v>Nhân viên</v>
      </c>
      <c r="J14" s="136" t="str">
        <f>VLOOKUP($B14,'1.2 HR-Data luong'!$A:$AD,'1.2 HR-Data luong'!H$5+1,0)</f>
        <v>S1</v>
      </c>
      <c r="K14" s="136" t="str">
        <f>VLOOKUP($B14,'1.2 HR-Data luong'!$A:$AD,'1.2 HR-Data luong'!I$5+1,0)</f>
        <v>CT</v>
      </c>
      <c r="L14" s="136" t="str">
        <f>VLOOKUP($B14,'1.2 HR-Data luong'!$A:$AD,'1.2 HR-Data luong'!J$5+1,0)</f>
        <v>hnv@novaon.vn</v>
      </c>
      <c r="M14" s="136" t="str">
        <f>VLOOKUP($B14,'1.2 HR-Data luong'!$A:$AD,'1.2 HR-Data luong'!K$5+1,0)</f>
        <v>fnv@novaon.vn</v>
      </c>
      <c r="N14" s="137" t="str">
        <f>VLOOKUP($D14,'1.2 HR-Data luong'!$B:$BG,'1.2 HR-Data luong'!BF$5,0)</f>
        <v>ON</v>
      </c>
      <c r="O14" s="138">
        <f>VLOOKUP(D14,'3.1 ERP-MUC LUONG'!C:R,16,0)</f>
        <v>9111111.1111111119</v>
      </c>
      <c r="P14" s="138">
        <f>VLOOKUP(D14,'3.2 ERP-PC THAM NIEN'!C:AK,35,0)</f>
        <v>775555.5555555555</v>
      </c>
      <c r="Q14" s="139">
        <f t="shared" si="0"/>
        <v>9886666.6666666679</v>
      </c>
      <c r="R14" s="138">
        <f>VLOOKUP(D14,'1.2 HR-Data luong'!B:AK,34,0)</f>
        <v>0</v>
      </c>
      <c r="S14" s="138">
        <f>VLOOKUP(D14,'3.3 ERP-PC LAPTOP va PC BD'!C:O,13,0)</f>
        <v>200000</v>
      </c>
      <c r="T14" s="138">
        <f>VLOOKUP(D14,'3.3 ERP-PC LAPTOP va PC BD'!C:T,18,0)</f>
        <v>200000</v>
      </c>
      <c r="U14" s="138">
        <v>0</v>
      </c>
      <c r="V14" s="140">
        <f>VLOOKUP(D14,'1.2 HR-Data luong'!B:R,17,0)</f>
        <v>22.5</v>
      </c>
      <c r="W14" s="141">
        <f t="shared" si="1"/>
        <v>9886666.6666666679</v>
      </c>
      <c r="X14" s="139">
        <f t="shared" si="2"/>
        <v>400000</v>
      </c>
      <c r="Y14" s="138">
        <f>VLOOKUP($D14,'2.2 KT-THUONG'!$C:$R,'2.2 KT-THUONG'!K$5,0)</f>
        <v>300000</v>
      </c>
      <c r="Z14" s="138">
        <f>VLOOKUP($D14,'2.2 KT-THUONG'!$C:$R,'2.2 KT-THUONG'!L$5,0)</f>
        <v>8000000</v>
      </c>
      <c r="AA14" s="138">
        <f>VLOOKUP($D14,'2.2 KT-THUONG'!$C:$R,'2.2 KT-THUONG'!M$5,0)</f>
        <v>800000</v>
      </c>
      <c r="AB14" s="138">
        <f>VLOOKUP($D14,'2.2 KT-THUONG'!$C:$R,'2.2 KT-THUONG'!N$5,0)</f>
        <v>0</v>
      </c>
      <c r="AC14" s="138">
        <f>VLOOKUP($D14,'2.2 KT-THUONG'!$C:$R,'2.2 KT-THUONG'!O$5,0)</f>
        <v>80000000</v>
      </c>
      <c r="AD14" s="138">
        <f>VLOOKUP($D14,'2.2 KT-THUONG'!$C:$R,'2.2 KT-THUONG'!P$5,0)</f>
        <v>0</v>
      </c>
      <c r="AE14" s="138">
        <f>VLOOKUP($D14,'2.2 KT-THUONG'!$C:$R,'2.2 KT-THUONG'!Q$5,0)</f>
        <v>50000000</v>
      </c>
      <c r="AF14" s="138">
        <f>VLOOKUP($D14,'2.2 KT-THUONG'!$C:$R,'2.2 KT-THUONG'!R$5,0)</f>
        <v>0</v>
      </c>
      <c r="AG14" s="138"/>
      <c r="AH14" s="139">
        <f t="shared" si="3"/>
        <v>149386666.66666669</v>
      </c>
      <c r="AI14" s="138">
        <f>VLOOKUP(D14,'3.5 ERP-THUE TNCN'!C:AF,30,0)</f>
        <v>2000000</v>
      </c>
      <c r="AJ14" s="138">
        <f>VLOOKUP(D14,'3.4 ERP-BHXH'!C:X,21,0)</f>
        <v>1050000</v>
      </c>
      <c r="AK14" s="138">
        <f>VLOOKUP(D14,'3.4 ERP-BHXH'!C:X,22,0)</f>
        <v>100000</v>
      </c>
      <c r="AL14" s="138">
        <f>VLOOKUP($D14,'1.2 HR-Data luong'!$B:$BE,'1.2 HR-Data luong'!BE$5,0)</f>
        <v>0</v>
      </c>
      <c r="AM14" s="138">
        <f>VLOOKUP($D14,'1.2 HR-Data luong'!$B:$BE,'1.2 HR-Data luong'!AM$5,0)</f>
        <v>0</v>
      </c>
      <c r="AN14" s="138">
        <f>VLOOKUP($D14,'1.2 HR-Data luong'!$B:$BE,'1.2 HR-Data luong'!AN$5,0)</f>
        <v>0</v>
      </c>
      <c r="AO14" s="138">
        <f>VLOOKUP(D14,'2.3 KT-GIAM TRU'!C:S,16,0)</f>
        <v>0</v>
      </c>
      <c r="AP14" s="138">
        <f>VLOOKUP(D14,'2.3 KT-GIAM TRU'!C:S,15,0)</f>
        <v>0</v>
      </c>
      <c r="AQ14" s="139">
        <f t="shared" si="4"/>
        <v>146236666.66666669</v>
      </c>
      <c r="AR14" s="142" t="str">
        <f t="shared" si="5"/>
        <v>X</v>
      </c>
      <c r="AS14" s="138">
        <f t="shared" si="6"/>
        <v>146236666.66666669</v>
      </c>
      <c r="AT14" s="139" t="s">
        <v>352</v>
      </c>
      <c r="AU14" s="138"/>
      <c r="AV14" s="138"/>
      <c r="AW14" s="139"/>
      <c r="AX14" s="138"/>
      <c r="AY14" s="138"/>
      <c r="AZ14" s="139"/>
      <c r="BA14" s="138"/>
      <c r="BB14" s="138"/>
      <c r="BC14" s="139"/>
      <c r="BD14" s="138"/>
      <c r="BE14" s="138"/>
      <c r="BF14" s="139">
        <f t="shared" si="7"/>
        <v>0</v>
      </c>
      <c r="BG14" s="138"/>
      <c r="BH14" s="138"/>
      <c r="BI14" s="138" t="str">
        <f>VLOOKUP(D14,'1.1 HR-Ho so nhan su'!B:AR,39,0)</f>
        <v>2. TPB</v>
      </c>
      <c r="BJ14" s="138" t="str">
        <f>VLOOKUP(D14,'1.1 HR-Ho so nhan su'!B:AR,40,0)</f>
        <v>TPB008</v>
      </c>
      <c r="BK14" s="138" t="str">
        <f>VLOOKUP(D14,'1.1 HR-Ho so nhan su'!B:AR,41,0)</f>
        <v>Nguyễn Văn H</v>
      </c>
      <c r="BL14" s="138" t="str">
        <f>VLOOKUP(D14,'1.1 HR-Ho so nhan su'!B:AR,42,0)</f>
        <v>KHB</v>
      </c>
      <c r="BM14" s="138" t="str">
        <f>VLOOKUP(D14,'1.1 HR-Ho so nhan su'!B:AR,43,0)</f>
        <v>HN</v>
      </c>
      <c r="BN14" s="138">
        <f>VLOOKUP(D14,'1.1 HR-Ho so nhan su'!B:AS,44,0)</f>
        <v>0</v>
      </c>
    </row>
    <row r="15" spans="1:66" x14ac:dyDescent="0.25">
      <c r="A15" s="136">
        <v>2017.07</v>
      </c>
      <c r="B15" s="136">
        <v>9</v>
      </c>
      <c r="C15" s="136" t="s">
        <v>302</v>
      </c>
      <c r="D15" s="136" t="str">
        <f>VLOOKUP($B15,'1.2 HR-Data luong'!$A:$AD,'1.2 HR-Data luong'!B$5+1,0)</f>
        <v>ADS09</v>
      </c>
      <c r="E15" s="136" t="str">
        <f>VLOOKUP($B15,'1.2 HR-Data luong'!$A:$AD,'1.2 HR-Data luong'!C$5+1,0)</f>
        <v>HR HN</v>
      </c>
      <c r="F15" s="136" t="str">
        <f>VLOOKUP($B15,'1.2 HR-Data luong'!$A:$AD,'1.2 HR-Data luong'!D$5+1,0)</f>
        <v>NguyenVanI</v>
      </c>
      <c r="G15" s="136" t="str">
        <f>VLOOKUP($B15,'1.2 HR-Data luong'!$A:$AD,'1.2 HR-Data luong'!E$5+1,0)</f>
        <v>Nguyễn Văn I</v>
      </c>
      <c r="H15" s="136" t="str">
        <f>VLOOKUP($B15,'1.2 HR-Data luong'!$A:$AD,'1.2 HR-Data luong'!F$5+1,0)</f>
        <v>HN</v>
      </c>
      <c r="I15" s="136" t="str">
        <f>VLOOKUP($B15,'1.2 HR-Data luong'!$A:$AD,'1.2 HR-Data luong'!G$5+1,0)</f>
        <v>Trưởng phòng</v>
      </c>
      <c r="J15" s="136" t="str">
        <f>VLOOKUP($B15,'1.2 HR-Data luong'!$A:$AD,'1.2 HR-Data luong'!H$5+1,0)</f>
        <v>TP KPC</v>
      </c>
      <c r="K15" s="136" t="str">
        <f>VLOOKUP($B15,'1.2 HR-Data luong'!$A:$AD,'1.2 HR-Data luong'!I$5+1,0)</f>
        <v>CT</v>
      </c>
      <c r="L15" s="136" t="str">
        <f>VLOOKUP($B15,'1.2 HR-Data luong'!$A:$AD,'1.2 HR-Data luong'!J$5+1,0)</f>
        <v>inv@novaon.vn</v>
      </c>
      <c r="M15" s="136" t="str">
        <f>VLOOKUP($B15,'1.2 HR-Data luong'!$A:$AD,'1.2 HR-Data luong'!K$5+1,0)</f>
        <v>bom@novaon.vn</v>
      </c>
      <c r="N15" s="137" t="str">
        <f>VLOOKUP($D15,'1.2 HR-Data luong'!$B:$BG,'1.2 HR-Data luong'!BF$5,0)</f>
        <v>ON</v>
      </c>
      <c r="O15" s="138">
        <f>VLOOKUP(D15,'3.1 ERP-MUC LUONG'!C:R,16,0)</f>
        <v>9000000</v>
      </c>
      <c r="P15" s="138">
        <f>VLOOKUP(D15,'3.2 ERP-PC THAM NIEN'!C:AK,35,0)</f>
        <v>810000</v>
      </c>
      <c r="Q15" s="139">
        <f t="shared" si="0"/>
        <v>9810000</v>
      </c>
      <c r="R15" s="138">
        <f>VLOOKUP(D15,'1.2 HR-Data luong'!B:AK,34,0)</f>
        <v>0</v>
      </c>
      <c r="S15" s="138">
        <f>VLOOKUP(D15,'3.3 ERP-PC LAPTOP va PC BD'!C:O,13,0)</f>
        <v>200000</v>
      </c>
      <c r="T15" s="138">
        <f>VLOOKUP(D15,'3.3 ERP-PC LAPTOP va PC BD'!C:T,18,0)</f>
        <v>200000</v>
      </c>
      <c r="U15" s="138">
        <v>0</v>
      </c>
      <c r="V15" s="140">
        <f>VLOOKUP(D15,'1.2 HR-Data luong'!B:R,17,0)</f>
        <v>22.5</v>
      </c>
      <c r="W15" s="141">
        <f t="shared" si="1"/>
        <v>9810000</v>
      </c>
      <c r="X15" s="139">
        <f t="shared" si="2"/>
        <v>400000</v>
      </c>
      <c r="Y15" s="138">
        <f>VLOOKUP($D15,'2.2 KT-THUONG'!$C:$R,'2.2 KT-THUONG'!K$5,0)</f>
        <v>300000</v>
      </c>
      <c r="Z15" s="138">
        <f>VLOOKUP($D15,'2.2 KT-THUONG'!$C:$R,'2.2 KT-THUONG'!L$5,0)</f>
        <v>9000000</v>
      </c>
      <c r="AA15" s="138">
        <f>VLOOKUP($D15,'2.2 KT-THUONG'!$C:$R,'2.2 KT-THUONG'!M$5,0)</f>
        <v>900000</v>
      </c>
      <c r="AB15" s="138">
        <f>VLOOKUP($D15,'2.2 KT-THUONG'!$C:$R,'2.2 KT-THUONG'!N$5,0)</f>
        <v>0</v>
      </c>
      <c r="AC15" s="138">
        <f>VLOOKUP($D15,'2.2 KT-THUONG'!$C:$R,'2.2 KT-THUONG'!O$5,0)</f>
        <v>90000000</v>
      </c>
      <c r="AD15" s="138">
        <f>VLOOKUP($D15,'2.2 KT-THUONG'!$C:$R,'2.2 KT-THUONG'!P$5,0)</f>
        <v>0</v>
      </c>
      <c r="AE15" s="138">
        <f>VLOOKUP($D15,'2.2 KT-THUONG'!$C:$R,'2.2 KT-THUONG'!Q$5,0)</f>
        <v>50000000</v>
      </c>
      <c r="AF15" s="138">
        <f>VLOOKUP($D15,'2.2 KT-THUONG'!$C:$R,'2.2 KT-THUONG'!R$5,0)</f>
        <v>0</v>
      </c>
      <c r="AG15" s="138"/>
      <c r="AH15" s="139">
        <f t="shared" si="3"/>
        <v>160410000</v>
      </c>
      <c r="AI15" s="138">
        <f>VLOOKUP(D15,'3.5 ERP-THUE TNCN'!C:AF,30,0)</f>
        <v>23842750</v>
      </c>
      <c r="AJ15" s="138">
        <f>VLOOKUP(D15,'3.4 ERP-BHXH'!C:X,21,0)</f>
        <v>945000</v>
      </c>
      <c r="AK15" s="138">
        <f>VLOOKUP(D15,'3.4 ERP-BHXH'!C:X,22,0)</f>
        <v>90000</v>
      </c>
      <c r="AL15" s="138">
        <f>VLOOKUP($D15,'1.2 HR-Data luong'!$B:$BE,'1.2 HR-Data luong'!BE$5,0)</f>
        <v>0</v>
      </c>
      <c r="AM15" s="138">
        <f>VLOOKUP($D15,'1.2 HR-Data luong'!$B:$BE,'1.2 HR-Data luong'!AM$5,0)</f>
        <v>22000</v>
      </c>
      <c r="AN15" s="138">
        <f>VLOOKUP($D15,'1.2 HR-Data luong'!$B:$BE,'1.2 HR-Data luong'!AN$5,0)</f>
        <v>0</v>
      </c>
      <c r="AO15" s="138">
        <f>VLOOKUP(D15,'2.3 KT-GIAM TRU'!C:S,16,0)</f>
        <v>0</v>
      </c>
      <c r="AP15" s="138">
        <f>VLOOKUP(D15,'2.3 KT-GIAM TRU'!C:S,15,0)</f>
        <v>0</v>
      </c>
      <c r="AQ15" s="139">
        <f t="shared" si="4"/>
        <v>135510250</v>
      </c>
      <c r="AR15" s="142" t="str">
        <f t="shared" si="5"/>
        <v>X</v>
      </c>
      <c r="AS15" s="138">
        <f t="shared" si="6"/>
        <v>135510250</v>
      </c>
      <c r="AT15" s="139" t="s">
        <v>352</v>
      </c>
      <c r="AU15" s="138"/>
      <c r="AV15" s="138"/>
      <c r="AW15" s="139"/>
      <c r="AX15" s="138"/>
      <c r="AY15" s="138"/>
      <c r="AZ15" s="139"/>
      <c r="BA15" s="138"/>
      <c r="BB15" s="138"/>
      <c r="BC15" s="139"/>
      <c r="BD15" s="138"/>
      <c r="BE15" s="138"/>
      <c r="BF15" s="139">
        <f t="shared" si="7"/>
        <v>0</v>
      </c>
      <c r="BG15" s="138"/>
      <c r="BH15" s="138"/>
      <c r="BI15" s="138" t="str">
        <f>VLOOKUP(D15,'1.1 HR-Ho so nhan su'!B:AR,39,0)</f>
        <v>2. TPB</v>
      </c>
      <c r="BJ15" s="138" t="str">
        <f>VLOOKUP(D15,'1.1 HR-Ho so nhan su'!B:AR,40,0)</f>
        <v>TPB009</v>
      </c>
      <c r="BK15" s="138" t="str">
        <f>VLOOKUP(D15,'1.1 HR-Ho so nhan su'!B:AR,41,0)</f>
        <v>Nguyễn Văn I</v>
      </c>
      <c r="BL15" s="138" t="str">
        <f>VLOOKUP(D15,'1.1 HR-Ho so nhan su'!B:AR,42,0)</f>
        <v>KHB</v>
      </c>
      <c r="BM15" s="138" t="str">
        <f>VLOOKUP(D15,'1.1 HR-Ho so nhan su'!B:AR,43,0)</f>
        <v>HN</v>
      </c>
      <c r="BN15" s="138">
        <f>VLOOKUP(D15,'1.1 HR-Ho so nhan su'!B:AS,44,0)</f>
        <v>0</v>
      </c>
    </row>
    <row r="16" spans="1:66" x14ac:dyDescent="0.25">
      <c r="A16" s="136">
        <v>2017.07</v>
      </c>
      <c r="B16" s="136">
        <v>10</v>
      </c>
      <c r="C16" s="136" t="s">
        <v>302</v>
      </c>
      <c r="D16" s="136" t="str">
        <f>VLOOKUP($B16,'1.2 HR-Data luong'!$A:$AD,'1.2 HR-Data luong'!B$5+1,0)</f>
        <v>ADS10</v>
      </c>
      <c r="E16" s="136" t="str">
        <f>VLOOKUP($B16,'1.2 HR-Data luong'!$A:$AD,'1.2 HR-Data luong'!C$5+1,0)</f>
        <v>HR HN</v>
      </c>
      <c r="F16" s="136" t="str">
        <f>VLOOKUP($B16,'1.2 HR-Data luong'!$A:$AD,'1.2 HR-Data luong'!D$5+1,0)</f>
        <v>NguyenVanK</v>
      </c>
      <c r="G16" s="136" t="str">
        <f>VLOOKUP($B16,'1.2 HR-Data luong'!$A:$AD,'1.2 HR-Data luong'!E$5+1,0)</f>
        <v>Nguyễn Văn K</v>
      </c>
      <c r="H16" s="136" t="str">
        <f>VLOOKUP($B16,'1.2 HR-Data luong'!$A:$AD,'1.2 HR-Data luong'!F$5+1,0)</f>
        <v>HN</v>
      </c>
      <c r="I16" s="136" t="str">
        <f>VLOOKUP($B16,'1.2 HR-Data luong'!$A:$AD,'1.2 HR-Data luong'!G$5+1,0)</f>
        <v>Nhân viên</v>
      </c>
      <c r="J16" s="136" t="str">
        <f>VLOOKUP($B16,'1.2 HR-Data luong'!$A:$AD,'1.2 HR-Data luong'!H$5+1,0)</f>
        <v>C1</v>
      </c>
      <c r="K16" s="136" t="str">
        <f>VLOOKUP($B16,'1.2 HR-Data luong'!$A:$AD,'1.2 HR-Data luong'!I$5+1,0)</f>
        <v>CT</v>
      </c>
      <c r="L16" s="136" t="str">
        <f>VLOOKUP($B16,'1.2 HR-Data luong'!$A:$AD,'1.2 HR-Data luong'!J$5+1,0)</f>
        <v>knv@novaon.vn</v>
      </c>
      <c r="M16" s="136" t="str">
        <f>VLOOKUP($B16,'1.2 HR-Data luong'!$A:$AD,'1.2 HR-Data luong'!K$5+1,0)</f>
        <v>inv@novaon.vn</v>
      </c>
      <c r="N16" s="137" t="str">
        <f>VLOOKUP($D16,'1.2 HR-Data luong'!$B:$BG,'1.2 HR-Data luong'!BF$5,0)</f>
        <v>ON</v>
      </c>
      <c r="O16" s="138">
        <f>VLOOKUP(D16,'3.1 ERP-MUC LUONG'!C:R,16,0)</f>
        <v>10000000</v>
      </c>
      <c r="P16" s="138">
        <f>VLOOKUP(D16,'3.2 ERP-PC THAM NIEN'!C:AK,35,0)</f>
        <v>1000000</v>
      </c>
      <c r="Q16" s="139">
        <f t="shared" si="0"/>
        <v>11000000</v>
      </c>
      <c r="R16" s="138">
        <f>VLOOKUP(D16,'1.2 HR-Data luong'!B:AK,34,0)</f>
        <v>0</v>
      </c>
      <c r="S16" s="138">
        <f>VLOOKUP(D16,'3.3 ERP-PC LAPTOP va PC BD'!C:O,13,0)</f>
        <v>200000</v>
      </c>
      <c r="T16" s="138">
        <f>VLOOKUP(D16,'3.3 ERP-PC LAPTOP va PC BD'!C:T,18,0)</f>
        <v>200000</v>
      </c>
      <c r="U16" s="138">
        <v>0</v>
      </c>
      <c r="V16" s="140">
        <f>VLOOKUP(D16,'1.2 HR-Data luong'!B:R,17,0)</f>
        <v>22.5</v>
      </c>
      <c r="W16" s="141">
        <f t="shared" si="1"/>
        <v>11000000</v>
      </c>
      <c r="X16" s="139">
        <f t="shared" si="2"/>
        <v>400000</v>
      </c>
      <c r="Y16" s="138">
        <f>VLOOKUP($D16,'2.2 KT-THUONG'!$C:$R,'2.2 KT-THUONG'!K$5,0)</f>
        <v>300000</v>
      </c>
      <c r="Z16" s="138">
        <f>VLOOKUP($D16,'2.2 KT-THUONG'!$C:$R,'2.2 KT-THUONG'!L$5,0)</f>
        <v>10000000</v>
      </c>
      <c r="AA16" s="138">
        <f>VLOOKUP($D16,'2.2 KT-THUONG'!$C:$R,'2.2 KT-THUONG'!M$5,0)</f>
        <v>1000000</v>
      </c>
      <c r="AB16" s="138">
        <f>VLOOKUP($D16,'2.2 KT-THUONG'!$C:$R,'2.2 KT-THUONG'!N$5,0)</f>
        <v>0</v>
      </c>
      <c r="AC16" s="138">
        <f>VLOOKUP($D16,'2.2 KT-THUONG'!$C:$R,'2.2 KT-THUONG'!O$5,0)</f>
        <v>100000000</v>
      </c>
      <c r="AD16" s="138">
        <f>VLOOKUP($D16,'2.2 KT-THUONG'!$C:$R,'2.2 KT-THUONG'!P$5,0)</f>
        <v>0</v>
      </c>
      <c r="AE16" s="138">
        <f>VLOOKUP($D16,'2.2 KT-THUONG'!$C:$R,'2.2 KT-THUONG'!Q$5,0)</f>
        <v>50000000</v>
      </c>
      <c r="AF16" s="138">
        <f>VLOOKUP($D16,'2.2 KT-THUONG'!$C:$R,'2.2 KT-THUONG'!R$5,0)</f>
        <v>0</v>
      </c>
      <c r="AG16" s="138"/>
      <c r="AH16" s="139">
        <f t="shared" si="3"/>
        <v>172700000</v>
      </c>
      <c r="AI16" s="138">
        <f>VLOOKUP(D16,'3.5 ERP-THUE TNCN'!C:AF,30,0)</f>
        <v>26847500</v>
      </c>
      <c r="AJ16" s="138">
        <f>VLOOKUP(D16,'3.4 ERP-BHXH'!C:X,21,0)</f>
        <v>1050000</v>
      </c>
      <c r="AK16" s="138">
        <f>VLOOKUP(D16,'3.4 ERP-BHXH'!C:X,22,0)</f>
        <v>100000</v>
      </c>
      <c r="AL16" s="138">
        <f>VLOOKUP($D16,'1.2 HR-Data luong'!$B:$BE,'1.2 HR-Data luong'!BE$5,0)</f>
        <v>0</v>
      </c>
      <c r="AM16" s="138">
        <f>VLOOKUP($D16,'1.2 HR-Data luong'!$B:$BE,'1.2 HR-Data luong'!AM$5,0)</f>
        <v>0</v>
      </c>
      <c r="AN16" s="138">
        <f>VLOOKUP($D16,'1.2 HR-Data luong'!$B:$BE,'1.2 HR-Data luong'!AN$5,0)</f>
        <v>0</v>
      </c>
      <c r="AO16" s="138">
        <f>VLOOKUP(D16,'2.3 KT-GIAM TRU'!C:S,16,0)</f>
        <v>0</v>
      </c>
      <c r="AP16" s="138">
        <f>VLOOKUP(D16,'2.3 KT-GIAM TRU'!C:S,15,0)</f>
        <v>0</v>
      </c>
      <c r="AQ16" s="139">
        <f t="shared" si="4"/>
        <v>144702500</v>
      </c>
      <c r="AR16" s="142" t="str">
        <f t="shared" si="5"/>
        <v>X</v>
      </c>
      <c r="AS16" s="138">
        <f t="shared" si="6"/>
        <v>144702500</v>
      </c>
      <c r="AT16" s="139" t="s">
        <v>352</v>
      </c>
      <c r="AU16" s="138"/>
      <c r="AV16" s="138"/>
      <c r="AW16" s="139"/>
      <c r="AX16" s="138"/>
      <c r="AY16" s="138"/>
      <c r="AZ16" s="139"/>
      <c r="BA16" s="138"/>
      <c r="BB16" s="138"/>
      <c r="BC16" s="139"/>
      <c r="BD16" s="138"/>
      <c r="BE16" s="138"/>
      <c r="BF16" s="139">
        <f t="shared" si="7"/>
        <v>0</v>
      </c>
      <c r="BG16" s="138"/>
      <c r="BH16" s="138"/>
      <c r="BI16" s="138" t="str">
        <f>VLOOKUP(D16,'1.1 HR-Ho so nhan su'!B:AR,39,0)</f>
        <v>2. TPB</v>
      </c>
      <c r="BJ16" s="138" t="str">
        <f>VLOOKUP(D16,'1.1 HR-Ho so nhan su'!B:AR,40,0)</f>
        <v>TPB010</v>
      </c>
      <c r="BK16" s="138" t="str">
        <f>VLOOKUP(D16,'1.1 HR-Ho so nhan su'!B:AR,41,0)</f>
        <v>Nguyễn Văn K</v>
      </c>
      <c r="BL16" s="138" t="str">
        <f>VLOOKUP(D16,'1.1 HR-Ho so nhan su'!B:AR,42,0)</f>
        <v>KHB</v>
      </c>
      <c r="BM16" s="138" t="str">
        <f>VLOOKUP(D16,'1.1 HR-Ho so nhan su'!B:AR,43,0)</f>
        <v>HN</v>
      </c>
      <c r="BN16" s="138">
        <f>VLOOKUP(D16,'1.1 HR-Ho so nhan su'!B:AS,44,0)</f>
        <v>0</v>
      </c>
    </row>
  </sheetData>
  <mergeCells count="27">
    <mergeCell ref="A4:A5"/>
    <mergeCell ref="AH4:AH5"/>
    <mergeCell ref="AI4:AP4"/>
    <mergeCell ref="AQ4:AQ5"/>
    <mergeCell ref="AR4:BF4"/>
    <mergeCell ref="G4:G5"/>
    <mergeCell ref="B4:B5"/>
    <mergeCell ref="D4:D5"/>
    <mergeCell ref="E4:E5"/>
    <mergeCell ref="F4:F5"/>
    <mergeCell ref="C4:C5"/>
    <mergeCell ref="BG4:BG5"/>
    <mergeCell ref="BI4:BN4"/>
    <mergeCell ref="BH4:BH5"/>
    <mergeCell ref="AG4:AG5"/>
    <mergeCell ref="H4:H5"/>
    <mergeCell ref="I4:I5"/>
    <mergeCell ref="J4:J5"/>
    <mergeCell ref="K4:K5"/>
    <mergeCell ref="N4:N5"/>
    <mergeCell ref="O4:P4"/>
    <mergeCell ref="Q4:Q5"/>
    <mergeCell ref="R4:U4"/>
    <mergeCell ref="W4:W5"/>
    <mergeCell ref="X4:X5"/>
    <mergeCell ref="L4:M4"/>
    <mergeCell ref="Y4:AF4"/>
  </mergeCells>
  <conditionalFormatting sqref="D4:D6 F6 H6 J6 L6 N6 P6 R6 T6 V6 X6 Z6 AB6 AD6 AF6 AH6 AJ6 AL6 AN6 AP6 AR6 AU6 AX6 BA6 BD6 BF6:BG6 BI6 BK6 BM6">
    <cfRule type="duplicateValues" dxfId="1" priority="3"/>
  </conditionalFormatting>
  <pageMargins left="0.7" right="0.7" top="0.75" bottom="0.75" header="0.3" footer="0.3"/>
  <pageSetup paperSize="9" orientation="portrait" verticalDpi="0"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1"/>
  </sheetPr>
  <dimension ref="A1:EG17"/>
  <sheetViews>
    <sheetView topLeftCell="DC5" zoomScale="85" zoomScaleNormal="85" workbookViewId="0">
      <selection activeCell="DE10" sqref="DE10"/>
    </sheetView>
  </sheetViews>
  <sheetFormatPr defaultRowHeight="15" outlineLevelCol="1" x14ac:dyDescent="0.25"/>
  <cols>
    <col min="6" max="7" width="14.7109375" customWidth="1"/>
    <col min="9" max="9" width="14.7109375" customWidth="1"/>
    <col min="12" max="13" width="16.5703125" customWidth="1"/>
    <col min="14" max="14" width="14" customWidth="1"/>
    <col min="15" max="16" width="12.5703125" customWidth="1" outlineLevel="1"/>
    <col min="17" max="17" width="9.140625" customWidth="1" outlineLevel="1"/>
    <col min="18" max="18" width="25.5703125" customWidth="1" outlineLevel="1"/>
    <col min="19" max="24" width="9.140625" customWidth="1" outlineLevel="1"/>
    <col min="25" max="25" width="20.28515625" customWidth="1" outlineLevel="1"/>
    <col min="26" max="28" width="9.140625" customWidth="1" outlineLevel="1"/>
    <col min="29" max="29" width="11.85546875" customWidth="1" outlineLevel="1"/>
    <col min="30" max="30" width="9.140625" customWidth="1" outlineLevel="1"/>
    <col min="31" max="31" width="12" customWidth="1" outlineLevel="1"/>
    <col min="32" max="32" width="11.85546875" customWidth="1" outlineLevel="1"/>
    <col min="33" max="34" width="9.140625" customWidth="1" outlineLevel="1"/>
    <col min="35" max="35" width="11.85546875" customWidth="1" outlineLevel="1"/>
    <col min="36" max="37" width="9.140625" customWidth="1" outlineLevel="1"/>
    <col min="38" max="38" width="11.85546875" customWidth="1" outlineLevel="1"/>
    <col min="39" max="40" width="9.140625" customWidth="1" outlineLevel="1"/>
    <col min="41" max="41" width="11.140625" customWidth="1" outlineLevel="1"/>
    <col min="42" max="45" width="12.28515625" customWidth="1"/>
    <col min="46" max="46" width="12.28515625" hidden="1" customWidth="1" outlineLevel="1"/>
    <col min="47" max="48" width="12.28515625" style="261" hidden="1" customWidth="1" outlineLevel="1"/>
    <col min="49" max="49" width="12.28515625" customWidth="1" collapsed="1"/>
    <col min="50" max="52" width="12.28515625" hidden="1" customWidth="1" outlineLevel="1"/>
    <col min="53" max="53" width="12.28515625" customWidth="1" collapsed="1"/>
    <col min="54" max="54" width="12.28515625" hidden="1" customWidth="1" outlineLevel="1"/>
    <col min="55" max="55" width="12.28515625" customWidth="1" collapsed="1"/>
    <col min="56" max="56" width="16.42578125" customWidth="1"/>
    <col min="57" max="67" width="12.28515625" customWidth="1"/>
    <col min="68" max="87" width="12.28515625" hidden="1" customWidth="1" outlineLevel="1"/>
    <col min="88" max="88" width="12.28515625" customWidth="1" collapsed="1"/>
    <col min="89" max="91" width="12.28515625" hidden="1" customWidth="1" outlineLevel="1"/>
    <col min="92" max="92" width="14" hidden="1" customWidth="1" outlineLevel="1"/>
    <col min="93" max="106" width="12.28515625" hidden="1" customWidth="1" outlineLevel="1"/>
    <col min="107" max="107" width="12.28515625" customWidth="1" collapsed="1"/>
    <col min="108" max="114" width="12.28515625" customWidth="1"/>
    <col min="115" max="115" width="14.42578125" customWidth="1"/>
    <col min="116" max="116" width="12.28515625" customWidth="1"/>
    <col min="117" max="117" width="15.7109375" customWidth="1"/>
    <col min="118" max="119" width="12.28515625" customWidth="1"/>
    <col min="120" max="120" width="15.7109375" customWidth="1"/>
    <col min="121" max="122" width="12.28515625" customWidth="1"/>
    <col min="123" max="123" width="15.7109375" customWidth="1"/>
    <col min="124" max="125" width="12.28515625" customWidth="1"/>
    <col min="126" max="126" width="15.7109375" customWidth="1"/>
    <col min="127" max="128" width="12.28515625" customWidth="1"/>
    <col min="129" max="129" width="15.7109375" customWidth="1"/>
    <col min="130" max="131" width="12.28515625" customWidth="1"/>
    <col min="134" max="134" width="17.28515625" customWidth="1"/>
  </cols>
  <sheetData>
    <row r="1" spans="1:137" x14ac:dyDescent="0.25">
      <c r="B1" s="134" t="s">
        <v>315</v>
      </c>
      <c r="C1" s="134"/>
      <c r="D1" s="89"/>
      <c r="E1" s="155">
        <v>7</v>
      </c>
      <c r="F1" s="97" t="s">
        <v>316</v>
      </c>
      <c r="G1" s="154">
        <v>2017</v>
      </c>
    </row>
    <row r="2" spans="1:137" ht="45" customHeight="1" x14ac:dyDescent="0.25">
      <c r="B2" s="134" t="s">
        <v>374</v>
      </c>
      <c r="C2" s="134" t="s">
        <v>375</v>
      </c>
      <c r="D2" s="89"/>
      <c r="E2" s="155"/>
      <c r="F2" s="97" t="s">
        <v>376</v>
      </c>
      <c r="G2" s="154"/>
      <c r="H2" s="97" t="s">
        <v>377</v>
      </c>
      <c r="I2" s="154"/>
    </row>
    <row r="3" spans="1:137" s="89" customFormat="1" ht="15" customHeight="1" x14ac:dyDescent="0.25">
      <c r="B3" s="290"/>
      <c r="C3" s="290"/>
      <c r="O3" s="89" t="s">
        <v>472</v>
      </c>
      <c r="P3" s="89" t="s">
        <v>472</v>
      </c>
      <c r="Q3" s="89" t="s">
        <v>472</v>
      </c>
      <c r="R3" s="89" t="s">
        <v>472</v>
      </c>
      <c r="S3" s="89" t="s">
        <v>472</v>
      </c>
      <c r="T3" s="89" t="s">
        <v>472</v>
      </c>
      <c r="U3" s="89" t="s">
        <v>472</v>
      </c>
      <c r="V3" s="89" t="s">
        <v>472</v>
      </c>
      <c r="W3" s="89" t="s">
        <v>472</v>
      </c>
      <c r="X3" s="89" t="s">
        <v>472</v>
      </c>
      <c r="Y3" s="89" t="s">
        <v>472</v>
      </c>
      <c r="Z3" s="89" t="s">
        <v>472</v>
      </c>
      <c r="AA3" s="89" t="s">
        <v>472</v>
      </c>
      <c r="AB3" s="89" t="s">
        <v>472</v>
      </c>
      <c r="AC3" s="89" t="s">
        <v>472</v>
      </c>
      <c r="AD3" s="89" t="s">
        <v>472</v>
      </c>
      <c r="AE3" s="89" t="s">
        <v>472</v>
      </c>
      <c r="AF3" s="89" t="s">
        <v>472</v>
      </c>
      <c r="AG3" s="89" t="s">
        <v>472</v>
      </c>
      <c r="AH3" s="89" t="s">
        <v>472</v>
      </c>
      <c r="AI3" s="89" t="s">
        <v>472</v>
      </c>
      <c r="AJ3" s="89" t="s">
        <v>472</v>
      </c>
      <c r="AK3" s="89" t="s">
        <v>472</v>
      </c>
      <c r="AL3" s="89" t="s">
        <v>472</v>
      </c>
      <c r="AM3" s="89" t="s">
        <v>472</v>
      </c>
      <c r="AN3" s="89" t="s">
        <v>472</v>
      </c>
      <c r="AO3" s="89" t="s">
        <v>472</v>
      </c>
      <c r="AP3" s="89" t="s">
        <v>471</v>
      </c>
      <c r="AQ3" s="89" t="s">
        <v>471</v>
      </c>
      <c r="AR3" s="89" t="s">
        <v>471</v>
      </c>
      <c r="AS3" s="89" t="s">
        <v>471</v>
      </c>
      <c r="AT3" s="89" t="s">
        <v>472</v>
      </c>
      <c r="AU3" s="89" t="s">
        <v>472</v>
      </c>
      <c r="AV3" s="89" t="s">
        <v>472</v>
      </c>
      <c r="AW3" s="89" t="s">
        <v>471</v>
      </c>
      <c r="AX3" s="89" t="s">
        <v>472</v>
      </c>
      <c r="AY3" s="89" t="s">
        <v>472</v>
      </c>
      <c r="AZ3" s="89" t="s">
        <v>472</v>
      </c>
      <c r="BA3" s="89" t="s">
        <v>471</v>
      </c>
      <c r="BB3" s="89" t="s">
        <v>472</v>
      </c>
      <c r="BC3" s="89" t="s">
        <v>471</v>
      </c>
      <c r="BD3" s="89" t="s">
        <v>471</v>
      </c>
      <c r="BE3" s="89" t="s">
        <v>471</v>
      </c>
      <c r="BF3" s="89" t="s">
        <v>471</v>
      </c>
      <c r="BG3" s="89" t="s">
        <v>471</v>
      </c>
      <c r="BH3" s="89" t="s">
        <v>471</v>
      </c>
      <c r="BI3" s="89" t="s">
        <v>471</v>
      </c>
      <c r="BJ3" s="89" t="s">
        <v>471</v>
      </c>
      <c r="BK3" s="89" t="s">
        <v>471</v>
      </c>
      <c r="BL3" s="89" t="s">
        <v>471</v>
      </c>
      <c r="BM3" s="89" t="s">
        <v>471</v>
      </c>
      <c r="BN3" s="89" t="s">
        <v>471</v>
      </c>
      <c r="BO3" s="89" t="s">
        <v>471</v>
      </c>
      <c r="BP3" s="89" t="s">
        <v>472</v>
      </c>
      <c r="BQ3" s="89" t="s">
        <v>472</v>
      </c>
      <c r="BR3" s="89" t="s">
        <v>472</v>
      </c>
      <c r="BS3" s="89" t="s">
        <v>472</v>
      </c>
      <c r="BT3" s="89" t="s">
        <v>472</v>
      </c>
      <c r="BU3" s="89" t="s">
        <v>472</v>
      </c>
      <c r="BV3" s="89" t="s">
        <v>472</v>
      </c>
      <c r="BW3" s="89" t="s">
        <v>472</v>
      </c>
      <c r="BX3" s="89" t="s">
        <v>472</v>
      </c>
      <c r="BY3" s="89" t="s">
        <v>472</v>
      </c>
      <c r="BZ3" s="89" t="s">
        <v>472</v>
      </c>
      <c r="CA3" s="89" t="s">
        <v>472</v>
      </c>
      <c r="CB3" s="89" t="s">
        <v>472</v>
      </c>
      <c r="CC3" s="89" t="s">
        <v>472</v>
      </c>
      <c r="CD3" s="89" t="s">
        <v>472</v>
      </c>
      <c r="CE3" s="89" t="s">
        <v>472</v>
      </c>
      <c r="CF3" s="89" t="s">
        <v>472</v>
      </c>
      <c r="CG3" s="89" t="s">
        <v>472</v>
      </c>
      <c r="CH3" s="89" t="s">
        <v>472</v>
      </c>
      <c r="CI3" s="89" t="s">
        <v>472</v>
      </c>
      <c r="CJ3" s="89" t="s">
        <v>471</v>
      </c>
      <c r="CK3" t="s">
        <v>472</v>
      </c>
      <c r="CL3" t="s">
        <v>472</v>
      </c>
      <c r="CM3" t="s">
        <v>472</v>
      </c>
      <c r="CN3" t="s">
        <v>472</v>
      </c>
      <c r="CO3" t="s">
        <v>472</v>
      </c>
      <c r="CP3" t="s">
        <v>472</v>
      </c>
      <c r="CQ3" t="s">
        <v>472</v>
      </c>
      <c r="CR3" t="s">
        <v>472</v>
      </c>
      <c r="CS3" t="s">
        <v>472</v>
      </c>
      <c r="CT3" t="s">
        <v>472</v>
      </c>
      <c r="CU3" t="s">
        <v>472</v>
      </c>
      <c r="CV3" t="s">
        <v>472</v>
      </c>
      <c r="CW3" t="s">
        <v>472</v>
      </c>
      <c r="CX3" t="s">
        <v>472</v>
      </c>
      <c r="CY3" t="s">
        <v>472</v>
      </c>
      <c r="CZ3" t="s">
        <v>472</v>
      </c>
      <c r="DA3" t="s">
        <v>472</v>
      </c>
      <c r="DB3" t="s">
        <v>472</v>
      </c>
      <c r="DC3" s="89" t="s">
        <v>471</v>
      </c>
      <c r="DD3" s="89" t="s">
        <v>471</v>
      </c>
      <c r="DE3" s="89" t="s">
        <v>471</v>
      </c>
      <c r="DF3" s="89" t="s">
        <v>471</v>
      </c>
      <c r="DG3" s="89" t="s">
        <v>471</v>
      </c>
      <c r="DH3" s="89" t="s">
        <v>471</v>
      </c>
      <c r="DI3" s="89" t="s">
        <v>471</v>
      </c>
      <c r="DJ3" s="89" t="s">
        <v>471</v>
      </c>
      <c r="DK3" s="89" t="s">
        <v>471</v>
      </c>
      <c r="DL3" s="89" t="s">
        <v>471</v>
      </c>
      <c r="DM3" s="89" t="s">
        <v>471</v>
      </c>
      <c r="DN3" s="89" t="s">
        <v>471</v>
      </c>
      <c r="DO3" s="89" t="s">
        <v>471</v>
      </c>
      <c r="DP3" s="89" t="s">
        <v>471</v>
      </c>
      <c r="DQ3" s="89" t="s">
        <v>471</v>
      </c>
      <c r="DR3" s="89" t="s">
        <v>471</v>
      </c>
      <c r="DS3" s="89" t="s">
        <v>471</v>
      </c>
      <c r="DT3" s="89" t="s">
        <v>471</v>
      </c>
      <c r="DU3" s="89" t="s">
        <v>471</v>
      </c>
      <c r="DV3" s="89" t="s">
        <v>471</v>
      </c>
      <c r="DW3" s="89" t="s">
        <v>471</v>
      </c>
      <c r="DX3" s="89" t="s">
        <v>471</v>
      </c>
      <c r="DY3" s="89" t="s">
        <v>471</v>
      </c>
      <c r="DZ3" s="89" t="s">
        <v>471</v>
      </c>
      <c r="EA3" s="89" t="s">
        <v>471</v>
      </c>
      <c r="EB3" s="89" t="s">
        <v>471</v>
      </c>
      <c r="EC3" s="89" t="s">
        <v>471</v>
      </c>
      <c r="ED3" s="89" t="s">
        <v>471</v>
      </c>
      <c r="EE3" s="89" t="s">
        <v>471</v>
      </c>
      <c r="EF3" s="89" t="s">
        <v>471</v>
      </c>
      <c r="EG3" s="89" t="s">
        <v>471</v>
      </c>
    </row>
    <row r="4" spans="1:137" ht="18.75" customHeight="1" x14ac:dyDescent="0.25">
      <c r="A4" s="336" t="s">
        <v>398</v>
      </c>
      <c r="B4" s="336" t="s">
        <v>0</v>
      </c>
      <c r="C4" s="336" t="s">
        <v>301</v>
      </c>
      <c r="D4" s="336" t="s">
        <v>1</v>
      </c>
      <c r="E4" s="336" t="s">
        <v>2</v>
      </c>
      <c r="F4" s="336" t="s">
        <v>218</v>
      </c>
      <c r="G4" s="336" t="s">
        <v>3</v>
      </c>
      <c r="H4" s="336" t="s">
        <v>4</v>
      </c>
      <c r="I4" s="336" t="s">
        <v>5</v>
      </c>
      <c r="J4" s="336" t="s">
        <v>6</v>
      </c>
      <c r="K4" s="336" t="s">
        <v>7</v>
      </c>
      <c r="L4" s="350" t="s">
        <v>8</v>
      </c>
      <c r="M4" s="357"/>
      <c r="N4" s="336" t="s">
        <v>9</v>
      </c>
      <c r="O4" s="325" t="s">
        <v>160</v>
      </c>
      <c r="P4" s="325"/>
      <c r="Q4" s="325"/>
      <c r="R4" s="325"/>
      <c r="S4" s="325" t="s">
        <v>162</v>
      </c>
      <c r="T4" s="325"/>
      <c r="U4" s="325"/>
      <c r="V4" s="325" t="s">
        <v>164</v>
      </c>
      <c r="W4" s="325"/>
      <c r="X4" s="325"/>
      <c r="Y4" s="325"/>
      <c r="Z4" s="325" t="s">
        <v>225</v>
      </c>
      <c r="AA4" s="325"/>
      <c r="AB4" s="325"/>
      <c r="AC4" s="371" t="s">
        <v>226</v>
      </c>
      <c r="AD4" s="371" t="s">
        <v>227</v>
      </c>
      <c r="AE4" s="371" t="s">
        <v>230</v>
      </c>
      <c r="AF4" s="371" t="s">
        <v>226</v>
      </c>
      <c r="AG4" s="371" t="s">
        <v>229</v>
      </c>
      <c r="AH4" s="371" t="s">
        <v>231</v>
      </c>
      <c r="AI4" s="371" t="s">
        <v>228</v>
      </c>
      <c r="AJ4" s="371" t="s">
        <v>227</v>
      </c>
      <c r="AK4" s="371" t="s">
        <v>232</v>
      </c>
      <c r="AL4" s="371" t="s">
        <v>228</v>
      </c>
      <c r="AM4" s="371" t="s">
        <v>229</v>
      </c>
      <c r="AN4" s="371" t="s">
        <v>233</v>
      </c>
      <c r="AO4" s="371" t="s">
        <v>224</v>
      </c>
      <c r="AP4" s="356" t="s">
        <v>10</v>
      </c>
      <c r="AQ4" s="356"/>
      <c r="AR4" s="352" t="s">
        <v>11</v>
      </c>
      <c r="AS4" s="337" t="s">
        <v>12</v>
      </c>
      <c r="AT4" s="338"/>
      <c r="AU4" s="338"/>
      <c r="AV4" s="338"/>
      <c r="AW4" s="338"/>
      <c r="AX4" s="338"/>
      <c r="AY4" s="338"/>
      <c r="AZ4" s="338"/>
      <c r="BA4" s="338"/>
      <c r="BB4" s="339"/>
      <c r="BC4" s="2">
        <v>22.5</v>
      </c>
      <c r="BD4" s="352" t="s">
        <v>14</v>
      </c>
      <c r="BE4" s="352" t="s">
        <v>15</v>
      </c>
      <c r="BF4" s="337" t="s">
        <v>296</v>
      </c>
      <c r="BG4" s="338"/>
      <c r="BH4" s="338"/>
      <c r="BI4" s="338"/>
      <c r="BJ4" s="338"/>
      <c r="BK4" s="338"/>
      <c r="BL4" s="338"/>
      <c r="BM4" s="339"/>
      <c r="BN4" s="355" t="s">
        <v>244</v>
      </c>
      <c r="BO4" s="352" t="s">
        <v>16</v>
      </c>
      <c r="BP4" s="369" t="s">
        <v>260</v>
      </c>
      <c r="BQ4" s="370"/>
      <c r="BR4" s="370"/>
      <c r="BS4" s="370"/>
      <c r="BT4" s="369" t="s">
        <v>259</v>
      </c>
      <c r="BU4" s="370"/>
      <c r="BV4" s="370"/>
      <c r="BW4" s="370"/>
      <c r="BX4" s="369" t="s">
        <v>282</v>
      </c>
      <c r="BY4" s="370"/>
      <c r="BZ4" s="370"/>
      <c r="CA4" s="370"/>
      <c r="CB4" s="369" t="s">
        <v>279</v>
      </c>
      <c r="CC4" s="370"/>
      <c r="CD4" s="370"/>
      <c r="CE4" s="370"/>
      <c r="CF4" s="360" t="s">
        <v>285</v>
      </c>
      <c r="CG4" s="360" t="s">
        <v>30</v>
      </c>
      <c r="CH4" s="360" t="s">
        <v>286</v>
      </c>
      <c r="CI4" s="360" t="s">
        <v>287</v>
      </c>
      <c r="CJ4" s="256" t="s">
        <v>479</v>
      </c>
      <c r="CK4" s="361" t="s">
        <v>161</v>
      </c>
      <c r="CL4" s="362"/>
      <c r="CM4" s="362"/>
      <c r="CN4" s="363"/>
      <c r="CO4" s="364" t="s">
        <v>246</v>
      </c>
      <c r="CP4" s="366" t="s">
        <v>247</v>
      </c>
      <c r="CQ4" s="367"/>
      <c r="CR4" s="367"/>
      <c r="CS4" s="368"/>
      <c r="CT4" s="366" t="s">
        <v>188</v>
      </c>
      <c r="CU4" s="367"/>
      <c r="CV4" s="367"/>
      <c r="CW4" s="367"/>
      <c r="CX4" s="368"/>
      <c r="CY4" s="366" t="s">
        <v>250</v>
      </c>
      <c r="CZ4" s="367"/>
      <c r="DA4" s="367"/>
      <c r="DB4" s="368"/>
      <c r="DC4" s="256" t="s">
        <v>479</v>
      </c>
      <c r="DD4" s="256" t="s">
        <v>479</v>
      </c>
      <c r="DE4" s="256" t="s">
        <v>479</v>
      </c>
      <c r="DF4" s="256" t="s">
        <v>479</v>
      </c>
      <c r="DG4" s="256" t="s">
        <v>479</v>
      </c>
      <c r="DH4" s="256" t="s">
        <v>479</v>
      </c>
      <c r="DI4" s="256" t="s">
        <v>479</v>
      </c>
      <c r="DJ4" s="358" t="s">
        <v>18</v>
      </c>
      <c r="DK4" s="337" t="s">
        <v>19</v>
      </c>
      <c r="DL4" s="338"/>
      <c r="DM4" s="338"/>
      <c r="DN4" s="338"/>
      <c r="DO4" s="338"/>
      <c r="DP4" s="338"/>
      <c r="DQ4" s="338"/>
      <c r="DR4" s="338"/>
      <c r="DS4" s="338"/>
      <c r="DT4" s="338"/>
      <c r="DU4" s="338"/>
      <c r="DV4" s="338"/>
      <c r="DW4" s="338"/>
      <c r="DX4" s="338"/>
      <c r="DY4" s="339"/>
      <c r="DZ4" s="352" t="s">
        <v>323</v>
      </c>
      <c r="EA4" s="352" t="s">
        <v>373</v>
      </c>
      <c r="EB4" s="353" t="s">
        <v>20</v>
      </c>
      <c r="EC4" s="354"/>
      <c r="ED4" s="354"/>
      <c r="EE4" s="354"/>
      <c r="EF4" s="354"/>
      <c r="EG4" s="354"/>
    </row>
    <row r="5" spans="1:137" ht="51" x14ac:dyDescent="0.25">
      <c r="A5" s="336"/>
      <c r="B5" s="336"/>
      <c r="C5" s="336"/>
      <c r="D5" s="336"/>
      <c r="E5" s="336"/>
      <c r="F5" s="336"/>
      <c r="G5" s="336"/>
      <c r="H5" s="336"/>
      <c r="I5" s="336"/>
      <c r="J5" s="336"/>
      <c r="K5" s="336"/>
      <c r="L5" s="255" t="s">
        <v>58</v>
      </c>
      <c r="M5" s="255" t="s">
        <v>216</v>
      </c>
      <c r="N5" s="336"/>
      <c r="O5" s="253" t="s">
        <v>174</v>
      </c>
      <c r="P5" s="253" t="s">
        <v>175</v>
      </c>
      <c r="Q5" s="254" t="s">
        <v>176</v>
      </c>
      <c r="R5" s="254" t="s">
        <v>177</v>
      </c>
      <c r="S5" s="15" t="s">
        <v>190</v>
      </c>
      <c r="T5" s="15" t="s">
        <v>191</v>
      </c>
      <c r="U5" s="15" t="s">
        <v>179</v>
      </c>
      <c r="V5" s="291" t="s">
        <v>210</v>
      </c>
      <c r="W5" s="291" t="s">
        <v>209</v>
      </c>
      <c r="X5" s="253" t="s">
        <v>64</v>
      </c>
      <c r="Y5" s="253" t="s">
        <v>211</v>
      </c>
      <c r="Z5" s="15" t="s">
        <v>190</v>
      </c>
      <c r="AA5" s="15" t="s">
        <v>191</v>
      </c>
      <c r="AB5" s="15" t="s">
        <v>179</v>
      </c>
      <c r="AC5" s="372"/>
      <c r="AD5" s="372"/>
      <c r="AE5" s="372"/>
      <c r="AF5" s="372"/>
      <c r="AG5" s="372"/>
      <c r="AH5" s="372"/>
      <c r="AI5" s="372"/>
      <c r="AJ5" s="372"/>
      <c r="AK5" s="372"/>
      <c r="AL5" s="372"/>
      <c r="AM5" s="372"/>
      <c r="AN5" s="372"/>
      <c r="AO5" s="372"/>
      <c r="AP5" s="257" t="s">
        <v>21</v>
      </c>
      <c r="AQ5" s="257" t="s">
        <v>22</v>
      </c>
      <c r="AR5" s="352"/>
      <c r="AS5" s="257" t="s">
        <v>23</v>
      </c>
      <c r="AT5" s="259" t="s">
        <v>473</v>
      </c>
      <c r="AU5" s="262" t="s">
        <v>474</v>
      </c>
      <c r="AV5" s="262" t="s">
        <v>238</v>
      </c>
      <c r="AW5" s="257" t="s">
        <v>24</v>
      </c>
      <c r="AX5" s="259" t="s">
        <v>475</v>
      </c>
      <c r="AY5" s="262" t="s">
        <v>476</v>
      </c>
      <c r="AZ5" s="262" t="s">
        <v>238</v>
      </c>
      <c r="BA5" s="257" t="s">
        <v>321</v>
      </c>
      <c r="BB5" s="259" t="s">
        <v>477</v>
      </c>
      <c r="BC5" s="4" t="s">
        <v>29</v>
      </c>
      <c r="BD5" s="352"/>
      <c r="BE5" s="352"/>
      <c r="BF5" s="257" t="s">
        <v>25</v>
      </c>
      <c r="BG5" s="257" t="s">
        <v>27</v>
      </c>
      <c r="BH5" s="257" t="s">
        <v>28</v>
      </c>
      <c r="BI5" s="257" t="s">
        <v>243</v>
      </c>
      <c r="BJ5" s="257" t="s">
        <v>26</v>
      </c>
      <c r="BK5" s="257" t="s">
        <v>241</v>
      </c>
      <c r="BL5" s="258" t="s">
        <v>239</v>
      </c>
      <c r="BM5" s="258" t="s">
        <v>240</v>
      </c>
      <c r="BN5" s="355"/>
      <c r="BO5" s="352"/>
      <c r="BP5" s="283" t="s">
        <v>256</v>
      </c>
      <c r="BQ5" s="283" t="s">
        <v>257</v>
      </c>
      <c r="BR5" s="283" t="s">
        <v>237</v>
      </c>
      <c r="BS5" s="284" t="s">
        <v>258</v>
      </c>
      <c r="BT5" s="285" t="s">
        <v>261</v>
      </c>
      <c r="BU5" s="285" t="s">
        <v>240</v>
      </c>
      <c r="BV5" s="285" t="s">
        <v>262</v>
      </c>
      <c r="BW5" s="285" t="s">
        <v>278</v>
      </c>
      <c r="BX5" s="285" t="s">
        <v>167</v>
      </c>
      <c r="BY5" s="285" t="s">
        <v>168</v>
      </c>
      <c r="BZ5" s="285" t="s">
        <v>169</v>
      </c>
      <c r="CA5" s="285" t="s">
        <v>478</v>
      </c>
      <c r="CB5" s="283" t="s">
        <v>280</v>
      </c>
      <c r="CC5" s="283" t="s">
        <v>281</v>
      </c>
      <c r="CD5" s="283" t="s">
        <v>279</v>
      </c>
      <c r="CE5" s="283" t="s">
        <v>284</v>
      </c>
      <c r="CF5" s="360"/>
      <c r="CG5" s="360"/>
      <c r="CH5" s="360"/>
      <c r="CI5" s="360"/>
      <c r="CJ5" s="257" t="s">
        <v>30</v>
      </c>
      <c r="CK5" s="277" t="s">
        <v>174</v>
      </c>
      <c r="CL5" s="277" t="s">
        <v>175</v>
      </c>
      <c r="CM5" s="278" t="s">
        <v>176</v>
      </c>
      <c r="CN5" s="278" t="s">
        <v>177</v>
      </c>
      <c r="CO5" s="365"/>
      <c r="CP5" s="279" t="s">
        <v>167</v>
      </c>
      <c r="CQ5" s="279" t="s">
        <v>168</v>
      </c>
      <c r="CR5" s="279" t="s">
        <v>169</v>
      </c>
      <c r="CS5" s="279" t="s">
        <v>248</v>
      </c>
      <c r="CT5" s="279" t="s">
        <v>167</v>
      </c>
      <c r="CU5" s="279" t="s">
        <v>168</v>
      </c>
      <c r="CV5" s="279" t="s">
        <v>169</v>
      </c>
      <c r="CW5" s="279" t="s">
        <v>251</v>
      </c>
      <c r="CX5" s="279" t="s">
        <v>248</v>
      </c>
      <c r="CY5" s="279" t="s">
        <v>167</v>
      </c>
      <c r="CZ5" s="279" t="s">
        <v>168</v>
      </c>
      <c r="DA5" s="279" t="s">
        <v>169</v>
      </c>
      <c r="DB5" s="279" t="s">
        <v>248</v>
      </c>
      <c r="DC5" s="257" t="s">
        <v>31</v>
      </c>
      <c r="DD5" s="257" t="s">
        <v>32</v>
      </c>
      <c r="DE5" s="257" t="s">
        <v>33</v>
      </c>
      <c r="DF5" s="257" t="s">
        <v>34</v>
      </c>
      <c r="DG5" s="257" t="s">
        <v>252</v>
      </c>
      <c r="DH5" s="257" t="s">
        <v>264</v>
      </c>
      <c r="DI5" s="257" t="s">
        <v>253</v>
      </c>
      <c r="DJ5" s="359"/>
      <c r="DK5" s="135" t="s">
        <v>290</v>
      </c>
      <c r="DL5" s="257" t="s">
        <v>36</v>
      </c>
      <c r="DM5" s="257" t="s">
        <v>463</v>
      </c>
      <c r="DN5" s="135" t="s">
        <v>291</v>
      </c>
      <c r="DO5" s="5" t="s">
        <v>37</v>
      </c>
      <c r="DP5" s="257" t="s">
        <v>464</v>
      </c>
      <c r="DQ5" s="135" t="s">
        <v>293</v>
      </c>
      <c r="DR5" s="5" t="s">
        <v>38</v>
      </c>
      <c r="DS5" s="257" t="s">
        <v>466</v>
      </c>
      <c r="DT5" s="257" t="s">
        <v>283</v>
      </c>
      <c r="DU5" s="257" t="s">
        <v>289</v>
      </c>
      <c r="DV5" s="257" t="s">
        <v>467</v>
      </c>
      <c r="DW5" s="135" t="s">
        <v>294</v>
      </c>
      <c r="DX5" s="257" t="s">
        <v>295</v>
      </c>
      <c r="DY5" s="257" t="s">
        <v>39</v>
      </c>
      <c r="DZ5" s="352"/>
      <c r="EA5" s="352"/>
      <c r="EB5" s="257" t="s">
        <v>42</v>
      </c>
      <c r="EC5" s="111" t="s">
        <v>40</v>
      </c>
      <c r="ED5" s="111" t="s">
        <v>41</v>
      </c>
      <c r="EE5" s="111" t="s">
        <v>300</v>
      </c>
      <c r="EF5" s="111" t="s">
        <v>82</v>
      </c>
      <c r="EG5" s="111" t="s">
        <v>78</v>
      </c>
    </row>
    <row r="6" spans="1:137" x14ac:dyDescent="0.25">
      <c r="A6" s="90"/>
      <c r="B6" s="90"/>
      <c r="C6" s="90"/>
      <c r="D6" s="90"/>
      <c r="E6" s="90"/>
      <c r="F6" s="90"/>
      <c r="G6" s="90"/>
      <c r="H6" s="90"/>
      <c r="I6" s="90"/>
      <c r="J6" s="90"/>
      <c r="K6" s="90"/>
      <c r="L6" s="90"/>
      <c r="M6" s="90"/>
      <c r="N6" s="90"/>
      <c r="O6" s="265"/>
      <c r="P6" s="265"/>
      <c r="Q6" s="266"/>
      <c r="R6" s="266"/>
      <c r="S6" s="267"/>
      <c r="T6" s="267"/>
      <c r="U6" s="267"/>
      <c r="V6" s="268"/>
      <c r="W6" s="268"/>
      <c r="X6" s="265"/>
      <c r="Y6" s="265"/>
      <c r="Z6" s="267"/>
      <c r="AA6" s="267"/>
      <c r="AB6" s="267"/>
      <c r="AC6" s="269"/>
      <c r="AD6" s="269"/>
      <c r="AE6" s="269"/>
      <c r="AF6" s="269"/>
      <c r="AG6" s="269"/>
      <c r="AH6" s="269"/>
      <c r="AI6" s="269"/>
      <c r="AJ6" s="269"/>
      <c r="AK6" s="269"/>
      <c r="AL6" s="269"/>
      <c r="AM6" s="269"/>
      <c r="AN6" s="269"/>
      <c r="AO6" s="269"/>
      <c r="AP6" s="270"/>
      <c r="AQ6" s="270"/>
      <c r="AR6" s="270"/>
      <c r="AS6" s="270"/>
      <c r="AT6" s="271"/>
      <c r="AU6" s="263"/>
      <c r="AV6" s="263"/>
      <c r="AW6" s="270"/>
      <c r="AX6" s="271"/>
      <c r="AY6" s="263"/>
      <c r="AZ6" s="263"/>
      <c r="BA6" s="270"/>
      <c r="BB6" s="271"/>
      <c r="BC6" s="272"/>
      <c r="BD6" s="270"/>
      <c r="BE6" s="270"/>
      <c r="BF6" s="270"/>
      <c r="BG6" s="270"/>
      <c r="BH6" s="270"/>
      <c r="BI6" s="270"/>
      <c r="BJ6" s="270"/>
      <c r="BK6" s="270"/>
      <c r="BL6" s="273"/>
      <c r="BM6" s="273"/>
      <c r="BN6" s="273"/>
      <c r="BO6" s="270"/>
      <c r="BP6" s="286">
        <f>'2.1 KT-Update ty le'!B20</f>
        <v>600000</v>
      </c>
      <c r="BQ6" s="287"/>
      <c r="BR6" s="287"/>
      <c r="BS6" s="288"/>
      <c r="BT6" s="289"/>
      <c r="BU6" s="289"/>
      <c r="BV6" s="289"/>
      <c r="BW6" s="289"/>
      <c r="BX6" s="289"/>
      <c r="BY6" s="289"/>
      <c r="BZ6" s="289"/>
      <c r="CA6" s="289"/>
      <c r="CB6" s="286">
        <f>'2.1 KT-Update ty le'!B21</f>
        <v>9000000</v>
      </c>
      <c r="CC6" s="289"/>
      <c r="CD6" s="286">
        <f>'2.1 KT-Update ty le'!B22</f>
        <v>3600000</v>
      </c>
      <c r="CE6" s="287"/>
      <c r="CF6" s="287"/>
      <c r="CG6" s="287"/>
      <c r="CH6" s="287"/>
      <c r="CI6" s="287"/>
      <c r="CJ6" s="270"/>
      <c r="CK6" s="280"/>
      <c r="CL6" s="280"/>
      <c r="CM6" s="281"/>
      <c r="CN6" s="281"/>
      <c r="CO6" s="279"/>
      <c r="CP6" s="282">
        <f>'2.1 KT-Update ty le'!B3</f>
        <v>0.17499999999999999</v>
      </c>
      <c r="CQ6" s="282">
        <f>'2.1 KT-Update ty le'!B4</f>
        <v>0.03</v>
      </c>
      <c r="CR6" s="282">
        <f>'2.1 KT-Update ty le'!B5</f>
        <v>0.01</v>
      </c>
      <c r="CS6" s="282">
        <f>'2.1 KT-Update ty le'!B6</f>
        <v>0.02</v>
      </c>
      <c r="CT6" s="282">
        <f>'2.1 KT-Update ty le'!C3</f>
        <v>0.08</v>
      </c>
      <c r="CU6" s="282">
        <f>'2.1 KT-Update ty le'!C4</f>
        <v>1.4999999999999999E-2</v>
      </c>
      <c r="CV6" s="282">
        <f>'2.1 KT-Update ty le'!C5</f>
        <v>0.01</v>
      </c>
      <c r="CW6" s="282">
        <f>SUM(CT6:CV6)</f>
        <v>0.105</v>
      </c>
      <c r="CX6" s="282">
        <f>'2.1 KT-Update ty le'!C6</f>
        <v>0.01</v>
      </c>
      <c r="CY6" s="282">
        <f>CP6+CT6</f>
        <v>0.255</v>
      </c>
      <c r="CZ6" s="282">
        <f>CQ6+CU6</f>
        <v>4.4999999999999998E-2</v>
      </c>
      <c r="DA6" s="282">
        <f>CR6+CV6</f>
        <v>0.02</v>
      </c>
      <c r="DB6" s="282">
        <f>CS6+CX6</f>
        <v>0.03</v>
      </c>
      <c r="DC6" s="270"/>
      <c r="DD6" s="270"/>
      <c r="DE6" s="270"/>
      <c r="DF6" s="270"/>
      <c r="DG6" s="270"/>
      <c r="DH6" s="270"/>
      <c r="DI6" s="270"/>
      <c r="DJ6" s="270"/>
      <c r="DK6" s="274"/>
      <c r="DL6" s="270"/>
      <c r="DM6" s="270"/>
      <c r="DN6" s="274"/>
      <c r="DO6" s="275"/>
      <c r="DP6" s="270"/>
      <c r="DQ6" s="274"/>
      <c r="DR6" s="275"/>
      <c r="DS6" s="270"/>
      <c r="DT6" s="270"/>
      <c r="DU6" s="270"/>
      <c r="DV6" s="270"/>
      <c r="DW6" s="274"/>
      <c r="DX6" s="270"/>
      <c r="DY6" s="270"/>
      <c r="DZ6" s="270"/>
      <c r="EA6" s="270"/>
      <c r="EB6" s="270"/>
      <c r="EC6" s="276"/>
      <c r="ED6" s="276"/>
      <c r="EE6" s="276"/>
      <c r="EF6" s="276"/>
      <c r="EG6" s="276"/>
    </row>
    <row r="7" spans="1:137" x14ac:dyDescent="0.25">
      <c r="A7" s="90"/>
      <c r="B7" s="90"/>
      <c r="C7" s="90"/>
      <c r="D7" s="90">
        <v>1</v>
      </c>
      <c r="E7" s="90">
        <v>2</v>
      </c>
      <c r="F7" s="90">
        <v>3</v>
      </c>
      <c r="G7" s="90">
        <v>4</v>
      </c>
      <c r="H7" s="90">
        <v>5</v>
      </c>
      <c r="I7" s="90">
        <v>6</v>
      </c>
      <c r="J7" s="90">
        <v>7</v>
      </c>
      <c r="K7" s="90">
        <v>8</v>
      </c>
      <c r="L7" s="90">
        <v>9</v>
      </c>
      <c r="M7" s="90">
        <v>10</v>
      </c>
      <c r="N7" s="90">
        <v>11</v>
      </c>
      <c r="O7" s="90">
        <v>12</v>
      </c>
      <c r="P7" s="90">
        <v>13</v>
      </c>
      <c r="Q7" s="90">
        <v>14</v>
      </c>
      <c r="R7" s="90">
        <v>15</v>
      </c>
      <c r="S7" s="90">
        <v>16</v>
      </c>
      <c r="T7" s="90">
        <v>17</v>
      </c>
      <c r="U7" s="90">
        <v>18</v>
      </c>
      <c r="V7" s="90">
        <v>19</v>
      </c>
      <c r="W7" s="90">
        <v>20</v>
      </c>
      <c r="X7" s="90">
        <v>21</v>
      </c>
      <c r="Y7" s="90">
        <v>22</v>
      </c>
      <c r="Z7" s="90">
        <v>23</v>
      </c>
      <c r="AA7" s="90">
        <v>24</v>
      </c>
      <c r="AB7" s="90">
        <v>25</v>
      </c>
      <c r="AC7" s="90">
        <v>26</v>
      </c>
      <c r="AD7" s="90">
        <v>27</v>
      </c>
      <c r="AE7" s="90">
        <v>28</v>
      </c>
      <c r="AF7" s="90">
        <v>29</v>
      </c>
      <c r="AG7" s="90">
        <v>30</v>
      </c>
      <c r="AH7" s="90">
        <v>31</v>
      </c>
      <c r="AI7" s="90">
        <v>32</v>
      </c>
      <c r="AJ7" s="90">
        <v>33</v>
      </c>
      <c r="AK7" s="90">
        <v>34</v>
      </c>
      <c r="AL7" s="90">
        <v>35</v>
      </c>
      <c r="AM7" s="90">
        <v>36</v>
      </c>
      <c r="AN7" s="90">
        <v>37</v>
      </c>
      <c r="AO7" s="90">
        <v>38</v>
      </c>
      <c r="AP7" s="90">
        <v>39</v>
      </c>
      <c r="AQ7" s="90">
        <v>40</v>
      </c>
      <c r="AR7" s="90">
        <v>41</v>
      </c>
      <c r="AS7" s="90">
        <v>42</v>
      </c>
      <c r="AT7" s="90">
        <v>43</v>
      </c>
      <c r="AU7" s="90">
        <v>44</v>
      </c>
      <c r="AV7" s="90">
        <v>45</v>
      </c>
      <c r="AW7" s="90">
        <v>46</v>
      </c>
      <c r="AX7" s="90">
        <v>47</v>
      </c>
      <c r="AY7" s="90">
        <v>48</v>
      </c>
      <c r="AZ7" s="90">
        <v>49</v>
      </c>
      <c r="BA7" s="90">
        <v>50</v>
      </c>
      <c r="BB7" s="90">
        <v>51</v>
      </c>
      <c r="BC7" s="90">
        <v>52</v>
      </c>
      <c r="BD7" s="90">
        <v>53</v>
      </c>
      <c r="BE7" s="90">
        <v>54</v>
      </c>
      <c r="BF7" s="90">
        <v>55</v>
      </c>
      <c r="BG7" s="90">
        <v>56</v>
      </c>
      <c r="BH7" s="90">
        <v>57</v>
      </c>
      <c r="BI7" s="90">
        <v>58</v>
      </c>
      <c r="BJ7" s="90">
        <v>59</v>
      </c>
      <c r="BK7" s="90">
        <v>60</v>
      </c>
      <c r="BL7" s="90">
        <v>61</v>
      </c>
      <c r="BM7" s="90">
        <v>62</v>
      </c>
      <c r="BN7" s="90">
        <v>63</v>
      </c>
      <c r="BO7" s="90">
        <v>64</v>
      </c>
      <c r="BP7" s="90">
        <v>65</v>
      </c>
      <c r="BQ7" s="90">
        <v>66</v>
      </c>
      <c r="BR7" s="90">
        <v>67</v>
      </c>
      <c r="BS7" s="90">
        <v>68</v>
      </c>
      <c r="BT7" s="90">
        <v>69</v>
      </c>
      <c r="BU7" s="90">
        <v>70</v>
      </c>
      <c r="BV7" s="90">
        <v>71</v>
      </c>
      <c r="BW7" s="90">
        <v>72</v>
      </c>
      <c r="BX7" s="90">
        <v>73</v>
      </c>
      <c r="BY7" s="90">
        <v>74</v>
      </c>
      <c r="BZ7" s="90">
        <v>75</v>
      </c>
      <c r="CA7" s="90">
        <v>76</v>
      </c>
      <c r="CB7" s="90">
        <v>77</v>
      </c>
      <c r="CC7" s="90">
        <v>78</v>
      </c>
      <c r="CD7" s="90">
        <v>79</v>
      </c>
      <c r="CE7" s="90">
        <v>80</v>
      </c>
      <c r="CF7" s="90">
        <v>81</v>
      </c>
      <c r="CG7" s="90">
        <v>82</v>
      </c>
      <c r="CH7" s="90">
        <v>83</v>
      </c>
      <c r="CI7" s="90">
        <v>84</v>
      </c>
      <c r="CJ7" s="90">
        <v>85</v>
      </c>
      <c r="CK7" s="90">
        <v>86</v>
      </c>
      <c r="CL7" s="90">
        <v>87</v>
      </c>
      <c r="CM7" s="90">
        <v>88</v>
      </c>
      <c r="CN7" s="90">
        <v>89</v>
      </c>
      <c r="CO7" s="90">
        <v>90</v>
      </c>
      <c r="CP7" s="90">
        <v>91</v>
      </c>
      <c r="CQ7" s="90">
        <v>92</v>
      </c>
      <c r="CR7" s="90">
        <v>93</v>
      </c>
      <c r="CS7" s="90">
        <v>94</v>
      </c>
      <c r="CT7" s="90">
        <v>95</v>
      </c>
      <c r="CU7" s="90">
        <v>96</v>
      </c>
      <c r="CV7" s="90">
        <v>97</v>
      </c>
      <c r="CW7" s="90">
        <v>98</v>
      </c>
      <c r="CX7" s="90">
        <v>99</v>
      </c>
      <c r="CY7" s="90">
        <v>100</v>
      </c>
      <c r="CZ7" s="90">
        <v>101</v>
      </c>
      <c r="DA7" s="90">
        <v>102</v>
      </c>
      <c r="DB7" s="90">
        <v>103</v>
      </c>
      <c r="DC7" s="90">
        <v>104</v>
      </c>
      <c r="DD7" s="90">
        <v>105</v>
      </c>
      <c r="DE7" s="90">
        <v>106</v>
      </c>
      <c r="DF7" s="90">
        <v>107</v>
      </c>
      <c r="DG7" s="90">
        <v>108</v>
      </c>
      <c r="DH7" s="90">
        <v>109</v>
      </c>
      <c r="DI7" s="90">
        <v>110</v>
      </c>
      <c r="DJ7" s="90">
        <v>111</v>
      </c>
      <c r="DK7" s="90">
        <v>112</v>
      </c>
      <c r="DL7" s="90">
        <v>113</v>
      </c>
      <c r="DM7" s="90">
        <v>114</v>
      </c>
      <c r="DN7" s="90">
        <v>115</v>
      </c>
      <c r="DO7" s="90">
        <v>116</v>
      </c>
      <c r="DP7" s="90">
        <v>117</v>
      </c>
      <c r="DQ7" s="90">
        <v>118</v>
      </c>
      <c r="DR7" s="90">
        <v>119</v>
      </c>
      <c r="DS7" s="90">
        <v>120</v>
      </c>
      <c r="DT7" s="90">
        <v>121</v>
      </c>
      <c r="DU7" s="90">
        <v>122</v>
      </c>
      <c r="DV7" s="90">
        <v>123</v>
      </c>
      <c r="DW7" s="90">
        <v>124</v>
      </c>
      <c r="DX7" s="90">
        <v>125</v>
      </c>
      <c r="DY7" s="90">
        <v>126</v>
      </c>
      <c r="DZ7" s="90">
        <v>127</v>
      </c>
      <c r="EA7" s="90">
        <v>128</v>
      </c>
      <c r="EB7" s="90">
        <v>129</v>
      </c>
      <c r="EC7" s="90">
        <v>130</v>
      </c>
      <c r="ED7" s="90">
        <v>131</v>
      </c>
      <c r="EE7" s="90">
        <v>132</v>
      </c>
      <c r="EF7" s="90">
        <v>133</v>
      </c>
      <c r="EG7" s="90">
        <v>134</v>
      </c>
    </row>
    <row r="8" spans="1:137" x14ac:dyDescent="0.25">
      <c r="A8" s="136">
        <v>2017.07</v>
      </c>
      <c r="B8" s="136">
        <v>1</v>
      </c>
      <c r="C8" s="136" t="s">
        <v>302</v>
      </c>
      <c r="D8" s="136" t="str">
        <f>VLOOKUP($B8,'1.2 HR-Data luong'!$A:$AD,'1.2 HR-Data luong'!B$5+1,0)</f>
        <v>ADS01</v>
      </c>
      <c r="E8" s="136" t="str">
        <f>VLOOKUP($B8,'1.2 HR-Data luong'!$A:$AD,'1.2 HR-Data luong'!C$5+1,0)</f>
        <v>BD01 HN</v>
      </c>
      <c r="F8" s="136" t="str">
        <f>VLOOKUP($B8,'1.2 HR-Data luong'!$A:$AD,'1.2 HR-Data luong'!D$5+1,0)</f>
        <v>NguyenVanA</v>
      </c>
      <c r="G8" s="136" t="str">
        <f>VLOOKUP($B8,'1.2 HR-Data luong'!$A:$AD,'1.2 HR-Data luong'!E$5+1,0)</f>
        <v>Nguyễn Văn A</v>
      </c>
      <c r="H8" s="136" t="str">
        <f>VLOOKUP($B8,'1.2 HR-Data luong'!$A:$AD,'1.2 HR-Data luong'!F$5+1,0)</f>
        <v>HN</v>
      </c>
      <c r="I8" s="136" t="str">
        <f>VLOOKUP($B8,'1.2 HR-Data luong'!$A:$AD,'1.2 HR-Data luong'!G$5+1,0)</f>
        <v>Trưởng phòng</v>
      </c>
      <c r="J8" s="136" t="str">
        <f>VLOOKUP($B8,'1.2 HR-Data luong'!$A:$AD,'1.2 HR-Data luong'!H$5+1,0)</f>
        <v>TP C1</v>
      </c>
      <c r="K8" s="136" t="str">
        <f>VLOOKUP($B8,'1.2 HR-Data luong'!$A:$AD,'1.2 HR-Data luong'!I$5+1,0)</f>
        <v>CT</v>
      </c>
      <c r="L8" s="136" t="str">
        <f>VLOOKUP($B8,'1.2 HR-Data luong'!$A:$AD,'1.2 HR-Data luong'!J$5+1,0)</f>
        <v>anv@novaon.vn</v>
      </c>
      <c r="M8" s="136" t="str">
        <f>VLOOKUP($B8,'1.2 HR-Data luong'!$A:$AD,'1.2 HR-Data luong'!K$5+1,0)</f>
        <v>bom@novaon.vn</v>
      </c>
      <c r="N8" s="137" t="str">
        <f>VLOOKUP($D8,'1.2 HR-Data luong'!$B:$BG,'1.2 HR-Data luong'!BF$5,0)</f>
        <v>ON</v>
      </c>
      <c r="O8" s="142">
        <f>VLOOKUP($D8,'1.2 HR-Data luong'!$B:$BG,'1.2 HR-Data luong'!L$5,0)</f>
        <v>1000000</v>
      </c>
      <c r="P8" s="142">
        <f>VLOOKUP($D8,'1.2 HR-Data luong'!$B:$BG,'1.2 HR-Data luong'!M$5,0)</f>
        <v>5000000</v>
      </c>
      <c r="Q8" s="294">
        <f>VLOOKUP($D8,'1.2 HR-Data luong'!$B:$BG,'1.2 HR-Data luong'!N$5,0)</f>
        <v>42919</v>
      </c>
      <c r="R8" s="136" t="str">
        <f>VLOOKUP($D8,'1.2 HR-Data luong'!$B:$BG,'1.2 HR-Data luong'!O$5,0)</f>
        <v>Tăng lương do tăng cấp</v>
      </c>
      <c r="S8" s="295">
        <f>VLOOKUP($D8,'1.2 HR-Data luong'!$B:$BG,'1.2 HR-Data luong'!P$5,0)</f>
        <v>4</v>
      </c>
      <c r="T8" s="295">
        <f>VLOOKUP($D8,'1.2 HR-Data luong'!$B:$BG,'1.2 HR-Data luong'!Q$5,0)</f>
        <v>18.5</v>
      </c>
      <c r="U8" s="295">
        <f>VLOOKUP($D8,'1.2 HR-Data luong'!$B:$BG,'1.2 HR-Data luong'!R$5,0)</f>
        <v>20.5</v>
      </c>
      <c r="V8" s="296">
        <f>VLOOKUP($D8,'1.2 HR-Data luong'!$B:$BG,'1.2 HR-Data luong'!W$5,0)</f>
        <v>0.01</v>
      </c>
      <c r="W8" s="296">
        <f>VLOOKUP($D8,'1.2 HR-Data luong'!$B:$BG,'1.2 HR-Data luong'!X$5,0)</f>
        <v>0.02</v>
      </c>
      <c r="X8" s="294">
        <f>VLOOKUP($D8,'1.2 HR-Data luong'!$B:$BG,'1.2 HR-Data luong'!Y$5,0)</f>
        <v>42917</v>
      </c>
      <c r="Y8" s="295" t="str">
        <f>VLOOKUP($D8,'1.2 HR-Data luong'!$B:$BG,'1.2 HR-Data luong'!Z$5,0)</f>
        <v>Đủ 3 năm công tác</v>
      </c>
      <c r="Z8" s="295">
        <f>VLOOKUP($D8,'1.2 HR-Data luong'!$B:$BG,'1.2 HR-Data luong'!AA$5,0)</f>
        <v>2</v>
      </c>
      <c r="AA8" s="295">
        <f>VLOOKUP($D8,'1.2 HR-Data luong'!$B:$BG,'1.2 HR-Data luong'!AB$5,0)</f>
        <v>20.5</v>
      </c>
      <c r="AB8" s="295">
        <f>VLOOKUP($D8,'1.2 HR-Data luong'!$B:$BG,'1.2 HR-Data luong'!AC$5,0)</f>
        <v>22.5</v>
      </c>
      <c r="AC8" s="297">
        <f>O8</f>
        <v>1000000</v>
      </c>
      <c r="AD8" s="298">
        <f>V8</f>
        <v>0.01</v>
      </c>
      <c r="AE8" s="299">
        <f>MIN(S8,Z8)</f>
        <v>2</v>
      </c>
      <c r="AF8" s="297">
        <f>AC8</f>
        <v>1000000</v>
      </c>
      <c r="AG8" s="298">
        <f>IF(X8&gt;0,W8,V8)</f>
        <v>0.02</v>
      </c>
      <c r="AH8" s="299">
        <f>MAX(0,S8-AE8)</f>
        <v>2</v>
      </c>
      <c r="AI8" s="297">
        <f>P8</f>
        <v>5000000</v>
      </c>
      <c r="AJ8" s="298">
        <f>V8</f>
        <v>0.01</v>
      </c>
      <c r="AK8" s="299">
        <f>MAX(0,Z8-AE8)</f>
        <v>0</v>
      </c>
      <c r="AL8" s="297">
        <f>P8</f>
        <v>5000000</v>
      </c>
      <c r="AM8" s="298">
        <f>IF(X8&gt;0,W8,V8)</f>
        <v>0.02</v>
      </c>
      <c r="AN8" s="299">
        <f>MAX(0,AA8-AH8)</f>
        <v>18.5</v>
      </c>
      <c r="AO8" s="260">
        <f>(AC8*AD8*AE8+AF8*AG8*AH8+AI8*AJ8*AK8+AL8*AM8*AN8)/(AE8+AH8+AK8+AN8)</f>
        <v>84888.888888888891</v>
      </c>
      <c r="AP8" s="138">
        <f>(O8*S8+P8*T8)/U8</f>
        <v>4707317.0731707318</v>
      </c>
      <c r="AQ8" s="138">
        <f>VLOOKUP(D8,'3.2 ERP-PC THAM NIEN'!C:AK,35,0)</f>
        <v>84888.888888888891</v>
      </c>
      <c r="AR8" s="139">
        <f>SUM(AP8:AQ8)</f>
        <v>4792205.9620596208</v>
      </c>
      <c r="AS8" s="138">
        <f>VLOOKUP(D8,'1.2 HR-Data luong'!B:AK,34,0)</f>
        <v>0</v>
      </c>
      <c r="AT8" s="260">
        <f>VLOOKUP($D8,'1.2 HR-Data luong'!$B:$BG,'1.2 HR-Data luong'!AD$5,0)</f>
        <v>200000</v>
      </c>
      <c r="AU8" s="264">
        <f>VLOOKUP($D8,'1.2 HR-Data luong'!$B:$BG,'1.2 HR-Data luong'!AE$5,0)</f>
        <v>15</v>
      </c>
      <c r="AV8" s="264">
        <f>VLOOKUP($D8,'1.2 HR-Data luong'!B:R,'1.2 HR-Data luong'!R$5,0)</f>
        <v>20.5</v>
      </c>
      <c r="AW8" s="138">
        <f t="shared" ref="AW8:AW17" si="0">AT8*AU8/AV8</f>
        <v>146341.46341463414</v>
      </c>
      <c r="AX8" s="260">
        <f>VLOOKUP($D8,'1.2 HR-Data luong'!$B:$BG,'1.2 HR-Data luong'!AF$5,0)</f>
        <v>200000</v>
      </c>
      <c r="AY8" s="264">
        <f>VLOOKUP($D8,'1.2 HR-Data luong'!$B:$BG,'1.2 HR-Data luong'!AG$5,0)</f>
        <v>15</v>
      </c>
      <c r="AZ8" s="264">
        <f>AV8</f>
        <v>20.5</v>
      </c>
      <c r="BA8" s="138">
        <f>AX8*AY8/AZ8</f>
        <v>146341.46341463414</v>
      </c>
      <c r="BB8" s="260">
        <v>0</v>
      </c>
      <c r="BC8" s="140">
        <f>VLOOKUP(D8,'1.2 HR-Data luong'!B:R,17,0)</f>
        <v>20.5</v>
      </c>
      <c r="BD8" s="141">
        <f t="shared" ref="BD8:BD17" si="1">AR8/$BC$4*BC8</f>
        <v>4366232.0987654319</v>
      </c>
      <c r="BE8" s="139">
        <f>SUM(AS8,AW8,BA8,BB8)/$BC$4*BC8</f>
        <v>266666.66666666669</v>
      </c>
      <c r="BF8" s="138">
        <f>VLOOKUP($D8,'2.2 KT-THUONG'!$C:$R,'2.2 KT-THUONG'!K$5,0)</f>
        <v>300000</v>
      </c>
      <c r="BG8" s="138">
        <f>VLOOKUP($D8,'2.2 KT-THUONG'!$C:$R,'2.2 KT-THUONG'!L$5,0)</f>
        <v>1000000</v>
      </c>
      <c r="BH8" s="138">
        <f>VLOOKUP($D8,'2.2 KT-THUONG'!$C:$R,'2.2 KT-THUONG'!M$5,0)</f>
        <v>100000</v>
      </c>
      <c r="BI8" s="138">
        <f>VLOOKUP($D8,'2.2 KT-THUONG'!$C:$R,'2.2 KT-THUONG'!N$5,0)</f>
        <v>2000000</v>
      </c>
      <c r="BJ8" s="138">
        <f>VLOOKUP($D8,'2.2 KT-THUONG'!$C:$R,'2.2 KT-THUONG'!O$5,0)</f>
        <v>10000000</v>
      </c>
      <c r="BK8" s="138">
        <f>VLOOKUP($D8,'2.2 KT-THUONG'!$C:$R,'2.2 KT-THUONG'!P$5,0)</f>
        <v>0</v>
      </c>
      <c r="BL8" s="138">
        <f>VLOOKUP($D8,'2.2 KT-THUONG'!$C:$R,'2.2 KT-THUONG'!Q$5,0)</f>
        <v>50000000</v>
      </c>
      <c r="BM8" s="138">
        <f>VLOOKUP($D8,'2.2 KT-THUONG'!$C:$R,'2.2 KT-THUONG'!R$5,0)</f>
        <v>0</v>
      </c>
      <c r="BN8" s="138"/>
      <c r="BO8" s="139">
        <f>SUM(BD8:BN8)</f>
        <v>68032898.76543209</v>
      </c>
      <c r="BP8" s="260">
        <f>$BP$6</f>
        <v>600000</v>
      </c>
      <c r="BQ8" s="300">
        <f>BC8</f>
        <v>20.5</v>
      </c>
      <c r="BR8" s="301">
        <v>22.5</v>
      </c>
      <c r="BS8" s="260">
        <f>BP8/BR8*BQ8</f>
        <v>546666.66666666674</v>
      </c>
      <c r="BT8" s="260">
        <f>BL8</f>
        <v>50000000</v>
      </c>
      <c r="BU8" s="260">
        <f>BM8</f>
        <v>0</v>
      </c>
      <c r="BV8" s="302">
        <f>BN8</f>
        <v>0</v>
      </c>
      <c r="BW8" s="260">
        <f>VLOOKUP(D8,'2.3 KT-GIAM TRU'!C:U,17,0)</f>
        <v>10000000</v>
      </c>
      <c r="BX8" s="260">
        <f>CT8</f>
        <v>80000</v>
      </c>
      <c r="BY8" s="260">
        <f t="shared" ref="BY8:BY17" si="2">CU8</f>
        <v>15000</v>
      </c>
      <c r="BZ8" s="260">
        <f t="shared" ref="BZ8:BZ17" si="3">CV8</f>
        <v>10000</v>
      </c>
      <c r="CA8" s="260"/>
      <c r="CB8" s="260">
        <f>IF(BQ8&gt;0,$CB$6,0)</f>
        <v>9000000</v>
      </c>
      <c r="CC8" s="301">
        <f>VLOOKUP(D8,'2.3 KT-GIAM TRU'!C:V,20,0)</f>
        <v>0</v>
      </c>
      <c r="CD8" s="260">
        <f>CC8*$CD$6</f>
        <v>0</v>
      </c>
      <c r="CE8" s="302">
        <f>SUM(CB8,CD8)</f>
        <v>9000000</v>
      </c>
      <c r="CF8" s="302">
        <f>MAX(0,BO8-SUM(BS8,BT8:BW8,BX8:CA8,CE8))</f>
        <v>0</v>
      </c>
      <c r="CG8" s="302">
        <f>IF(CF8&gt;'2.1 KT-Update ty le'!$A$16,CF8*'2.1 KT-Update ty le'!$B$17-'2.1 KT-Update ty le'!$E$17,IF(CF8&gt;'2.1 KT-Update ty le'!$A$15, CF8*'2.1 KT-Update ty le'!$B$16-'2.1 KT-Update ty le'!$E$16,IF(CF8&gt;'2.1 KT-Update ty le'!$A$14, CF8*'2.1 KT-Update ty le'!$B$15-'2.1 KT-Update ty le'!$E$15,IF(CF8&gt;'2.1 KT-Update ty le'!$A$13, CF8*'2.1 KT-Update ty le'!$B$14-'2.1 KT-Update ty le'!$E$14,IF(CF8&gt;'2.1 KT-Update ty le'!$A$12, CF8*'2.1 KT-Update ty le'!$B$13-'2.1 KT-Update ty le'!$E$13,IF(CF8&gt;'2.1 KT-Update ty le'!$A$11, CF8*'2.1 KT-Update ty le'!$B$12-'2.1 KT-Update ty le'!$E$12,IF(CF8&gt;0, CF8*'2.1 KT-Update ty le'!$B$11,0)))))))</f>
        <v>0</v>
      </c>
      <c r="CH8" s="260">
        <f>VLOOKUP(D8,'2.3 KT-GIAM TRU'!C:V,18,0)</f>
        <v>0</v>
      </c>
      <c r="CI8" s="260">
        <f>VLOOKUP(D8,'2.3 KT-GIAM TRU'!C:V,19,0)</f>
        <v>0</v>
      </c>
      <c r="CJ8" s="138">
        <f t="shared" ref="CJ8:CJ17" si="4">IF(CI8&gt;0,CI8,CG8-CH8)</f>
        <v>0</v>
      </c>
      <c r="CK8" s="297">
        <f>VLOOKUP($D8,'1.2 HR-Data luong'!$B:$V,'1.2 HR-Data luong'!S$5,0)</f>
        <v>1000000</v>
      </c>
      <c r="CL8" s="297">
        <f>VLOOKUP($D8,'1.2 HR-Data luong'!$B:$V,'1.2 HR-Data luong'!T$5,0)</f>
        <v>0</v>
      </c>
      <c r="CM8" s="303">
        <f>VLOOKUP($D8,'1.2 HR-Data luong'!$B:$V,'1.2 HR-Data luong'!U$5,0)</f>
        <v>0</v>
      </c>
      <c r="CN8" s="304">
        <f>VLOOKUP($D8,'1.2 HR-Data luong'!$B:$V,'1.2 HR-Data luong'!V$5,0)</f>
        <v>0</v>
      </c>
      <c r="CO8" s="260">
        <f>IF(CM8&gt;0,CL8,CK8)</f>
        <v>1000000</v>
      </c>
      <c r="CP8" s="260">
        <f t="shared" ref="CP8:DB17" si="5">$CO8*CP$6</f>
        <v>175000</v>
      </c>
      <c r="CQ8" s="260">
        <f t="shared" si="5"/>
        <v>30000</v>
      </c>
      <c r="CR8" s="260">
        <f t="shared" si="5"/>
        <v>10000</v>
      </c>
      <c r="CS8" s="260">
        <f t="shared" si="5"/>
        <v>20000</v>
      </c>
      <c r="CT8" s="260">
        <f t="shared" si="5"/>
        <v>80000</v>
      </c>
      <c r="CU8" s="260">
        <f t="shared" si="5"/>
        <v>15000</v>
      </c>
      <c r="CV8" s="260">
        <f t="shared" si="5"/>
        <v>10000</v>
      </c>
      <c r="CW8" s="260">
        <f t="shared" si="5"/>
        <v>105000</v>
      </c>
      <c r="CX8" s="260">
        <f t="shared" si="5"/>
        <v>10000</v>
      </c>
      <c r="CY8" s="260">
        <f t="shared" si="5"/>
        <v>255000</v>
      </c>
      <c r="CZ8" s="260">
        <f t="shared" si="5"/>
        <v>45000</v>
      </c>
      <c r="DA8" s="260">
        <f t="shared" si="5"/>
        <v>20000</v>
      </c>
      <c r="DB8" s="260">
        <f t="shared" si="5"/>
        <v>30000</v>
      </c>
      <c r="DC8" s="138">
        <f>CW8</f>
        <v>105000</v>
      </c>
      <c r="DD8" s="138">
        <f>CX8</f>
        <v>10000</v>
      </c>
      <c r="DE8" s="138">
        <f>VLOOKUP($D8,'1.2 HR-Data luong'!$B:$BE,'1.2 HR-Data luong'!BE$5,0)</f>
        <v>0</v>
      </c>
      <c r="DF8" s="138">
        <f>VLOOKUP($D8,'1.2 HR-Data luong'!$B:$BE,'1.2 HR-Data luong'!AM$5,0)</f>
        <v>0</v>
      </c>
      <c r="DG8" s="138">
        <f>VLOOKUP($D8,'1.2 HR-Data luong'!$B:$BE,'1.2 HR-Data luong'!AN$5,0)</f>
        <v>0</v>
      </c>
      <c r="DH8" s="138">
        <f>VLOOKUP(D8,'2.3 KT-GIAM TRU'!C:S,16,0)</f>
        <v>0</v>
      </c>
      <c r="DI8" s="138">
        <f>VLOOKUP(D8,'2.3 KT-GIAM TRU'!C:S,15,0)</f>
        <v>0</v>
      </c>
      <c r="DJ8" s="139">
        <f>BO8-SUM(CJ8,DC8,DD8,DE8,DF8,DG8,DH8,DI8)</f>
        <v>67917898.76543209</v>
      </c>
      <c r="DK8" s="142" t="str">
        <f>IF(N8="OFF",0,"X")</f>
        <v>X</v>
      </c>
      <c r="DL8" s="138">
        <f>IF(DK8="X",DJ8,0)</f>
        <v>67917898.76543209</v>
      </c>
      <c r="DM8" s="139" t="s">
        <v>352</v>
      </c>
      <c r="DN8" s="138"/>
      <c r="DO8" s="138"/>
      <c r="DP8" s="139"/>
      <c r="DQ8" s="138"/>
      <c r="DR8" s="138"/>
      <c r="DS8" s="139"/>
      <c r="DT8" s="138"/>
      <c r="DU8" s="138"/>
      <c r="DV8" s="139"/>
      <c r="DW8" s="138"/>
      <c r="DX8" s="138"/>
      <c r="DY8" s="139">
        <f>DJ8-SUM(DL8,DO8,DR8,DU8,DX8)</f>
        <v>0</v>
      </c>
      <c r="DZ8" s="138"/>
      <c r="EA8" s="138"/>
      <c r="EB8" s="138" t="str">
        <f>VLOOKUP(D8,'1.1 HR-Ho so nhan su'!B:AR,39,0)</f>
        <v>2. TPB</v>
      </c>
      <c r="EC8" s="138" t="str">
        <f>VLOOKUP(D8,'1.1 HR-Ho so nhan su'!B:AR,40,0)</f>
        <v>TPB001</v>
      </c>
      <c r="ED8" s="138" t="str">
        <f>VLOOKUP(D8,'1.1 HR-Ho so nhan su'!B:AR,41,0)</f>
        <v>Nguyễn Văn A</v>
      </c>
      <c r="EE8" s="138" t="str">
        <f>VLOOKUP(D8,'1.1 HR-Ho so nhan su'!B:AR,42,0)</f>
        <v>KHB</v>
      </c>
      <c r="EF8" s="138" t="str">
        <f>VLOOKUP(D8,'1.1 HR-Ho so nhan su'!B:AR,43,0)</f>
        <v>HN</v>
      </c>
      <c r="EG8" s="138">
        <f>VLOOKUP(D8,'1.1 HR-Ho so nhan su'!B:AS,44,0)</f>
        <v>0</v>
      </c>
    </row>
    <row r="9" spans="1:137" x14ac:dyDescent="0.25">
      <c r="A9" s="136">
        <v>2017.07</v>
      </c>
      <c r="B9" s="136">
        <v>2</v>
      </c>
      <c r="C9" s="136" t="s">
        <v>302</v>
      </c>
      <c r="D9" s="136" t="str">
        <f>VLOOKUP($B9,'1.2 HR-Data luong'!$A:$AD,'1.2 HR-Data luong'!B$5+1,0)</f>
        <v>ADS02</v>
      </c>
      <c r="E9" s="136" t="str">
        <f>VLOOKUP($B9,'1.2 HR-Data luong'!$A:$AD,'1.2 HR-Data luong'!C$5+1,0)</f>
        <v>BD01 HN</v>
      </c>
      <c r="F9" s="136" t="str">
        <f>VLOOKUP($B9,'1.2 HR-Data luong'!$A:$AD,'1.2 HR-Data luong'!D$5+1,0)</f>
        <v>NguyenVanB</v>
      </c>
      <c r="G9" s="136" t="str">
        <f>VLOOKUP($B9,'1.2 HR-Data luong'!$A:$AD,'1.2 HR-Data luong'!E$5+1,0)</f>
        <v>Nguyễn Văn B</v>
      </c>
      <c r="H9" s="136" t="str">
        <f>VLOOKUP($B9,'1.2 HR-Data luong'!$A:$AD,'1.2 HR-Data luong'!F$5+1,0)</f>
        <v>HN</v>
      </c>
      <c r="I9" s="136" t="str">
        <f>VLOOKUP($B9,'1.2 HR-Data luong'!$A:$AD,'1.2 HR-Data luong'!G$5+1,0)</f>
        <v>Nhân viên</v>
      </c>
      <c r="J9" s="136" t="str">
        <f>VLOOKUP($B9,'1.2 HR-Data luong'!$A:$AD,'1.2 HR-Data luong'!H$5+1,0)</f>
        <v>C1</v>
      </c>
      <c r="K9" s="136" t="str">
        <f>VLOOKUP($B9,'1.2 HR-Data luong'!$A:$AD,'1.2 HR-Data luong'!I$5+1,0)</f>
        <v>CT</v>
      </c>
      <c r="L9" s="136" t="str">
        <f>VLOOKUP($B9,'1.2 HR-Data luong'!$A:$AD,'1.2 HR-Data luong'!J$5+1,0)</f>
        <v>bnv@novaon.vn</v>
      </c>
      <c r="M9" s="136" t="str">
        <f>VLOOKUP($B9,'1.2 HR-Data luong'!$A:$AD,'1.2 HR-Data luong'!K$5+1,0)</f>
        <v>anv@novaon.vn</v>
      </c>
      <c r="N9" s="137" t="str">
        <f>VLOOKUP($D9,'1.2 HR-Data luong'!$B:$BG,'1.2 HR-Data luong'!BF$5,0)</f>
        <v>OFF</v>
      </c>
      <c r="O9" s="142">
        <f>VLOOKUP($D9,'1.2 HR-Data luong'!$B:$BG,'1.2 HR-Data luong'!L$5,0)</f>
        <v>2000000</v>
      </c>
      <c r="P9" s="142">
        <f>VLOOKUP($D9,'1.2 HR-Data luong'!$B:$BG,'1.2 HR-Data luong'!M$5,0)</f>
        <v>0</v>
      </c>
      <c r="Q9" s="294">
        <f>VLOOKUP($D9,'1.2 HR-Data luong'!$B:$BG,'1.2 HR-Data luong'!N$5,0)</f>
        <v>0</v>
      </c>
      <c r="R9" s="136">
        <f>VLOOKUP($D9,'1.2 HR-Data luong'!$B:$BG,'1.2 HR-Data luong'!O$5,0)</f>
        <v>0</v>
      </c>
      <c r="S9" s="295">
        <f>VLOOKUP($D9,'1.2 HR-Data luong'!$B:$BG,'1.2 HR-Data luong'!P$5,0)</f>
        <v>22.5</v>
      </c>
      <c r="T9" s="295">
        <f>VLOOKUP($D9,'1.2 HR-Data luong'!$B:$BG,'1.2 HR-Data luong'!Q$5,0)</f>
        <v>0</v>
      </c>
      <c r="U9" s="295">
        <f>VLOOKUP($D9,'1.2 HR-Data luong'!$B:$BG,'1.2 HR-Data luong'!R$5,0)</f>
        <v>20.5</v>
      </c>
      <c r="V9" s="296">
        <f>VLOOKUP($D9,'1.2 HR-Data luong'!$B:$BG,'1.2 HR-Data luong'!W$5,0)</f>
        <v>0.02</v>
      </c>
      <c r="W9" s="296">
        <f>VLOOKUP($D9,'1.2 HR-Data luong'!$B:$BG,'1.2 HR-Data luong'!X$5,0)</f>
        <v>0</v>
      </c>
      <c r="X9" s="294">
        <f>VLOOKUP($D9,'1.2 HR-Data luong'!$B:$BG,'1.2 HR-Data luong'!Y$5,0)</f>
        <v>0</v>
      </c>
      <c r="Y9" s="295">
        <f>VLOOKUP($D9,'1.2 HR-Data luong'!$B:$BG,'1.2 HR-Data luong'!Z$5,0)</f>
        <v>0</v>
      </c>
      <c r="Z9" s="295">
        <f>VLOOKUP($D9,'1.2 HR-Data luong'!$B:$BG,'1.2 HR-Data luong'!AA$5,0)</f>
        <v>22.5</v>
      </c>
      <c r="AA9" s="295">
        <f>VLOOKUP($D9,'1.2 HR-Data luong'!$B:$BG,'1.2 HR-Data luong'!AB$5,0)</f>
        <v>0</v>
      </c>
      <c r="AB9" s="295">
        <f>VLOOKUP($D9,'1.2 HR-Data luong'!$B:$BG,'1.2 HR-Data luong'!AC$5,0)</f>
        <v>22.5</v>
      </c>
      <c r="AC9" s="297">
        <f t="shared" ref="AC9:AC17" si="6">O9</f>
        <v>2000000</v>
      </c>
      <c r="AD9" s="298">
        <f t="shared" ref="AD9:AD17" si="7">V9</f>
        <v>0.02</v>
      </c>
      <c r="AE9" s="299">
        <f t="shared" ref="AE9:AE17" si="8">MIN(S9,Z9)</f>
        <v>22.5</v>
      </c>
      <c r="AF9" s="297">
        <f t="shared" ref="AF9:AF17" si="9">AC9</f>
        <v>2000000</v>
      </c>
      <c r="AG9" s="298">
        <f t="shared" ref="AG9:AG17" si="10">IF(X9&gt;0,W9,V9)</f>
        <v>0.02</v>
      </c>
      <c r="AH9" s="299">
        <f t="shared" ref="AH9:AH17" si="11">MAX(0,S9-AE9)</f>
        <v>0</v>
      </c>
      <c r="AI9" s="297">
        <f t="shared" ref="AI9:AI17" si="12">P9</f>
        <v>0</v>
      </c>
      <c r="AJ9" s="298">
        <f t="shared" ref="AJ9:AJ17" si="13">V9</f>
        <v>0.02</v>
      </c>
      <c r="AK9" s="299">
        <f t="shared" ref="AK9:AK17" si="14">MAX(0,Z9-AE9)</f>
        <v>0</v>
      </c>
      <c r="AL9" s="297">
        <f t="shared" ref="AL9:AL17" si="15">P9</f>
        <v>0</v>
      </c>
      <c r="AM9" s="298">
        <f t="shared" ref="AM9:AM17" si="16">IF(X9&gt;0,W9,V9)</f>
        <v>0.02</v>
      </c>
      <c r="AN9" s="299">
        <f t="shared" ref="AN9:AN17" si="17">MAX(0,AA9-AH9)</f>
        <v>0</v>
      </c>
      <c r="AO9" s="260">
        <f t="shared" ref="AO9:AO17" si="18">(AC9*AD9*AE9+AF9*AG9*AH9+AI9*AJ9*AK9+AL9*AM9*AN9)/(AE9+AH9+AK9+AN9)</f>
        <v>40000</v>
      </c>
      <c r="AP9" s="138">
        <f t="shared" ref="AP9:AP17" si="19">(O9*S9+P9*T9)/U9</f>
        <v>2195121.9512195121</v>
      </c>
      <c r="AQ9" s="138">
        <f>VLOOKUP(D9,'3.2 ERP-PC THAM NIEN'!C:AK,35,0)</f>
        <v>40000</v>
      </c>
      <c r="AR9" s="139">
        <f t="shared" ref="AR9:AR17" si="20">SUM(AP9:AQ9)</f>
        <v>2235121.9512195121</v>
      </c>
      <c r="AS9" s="138">
        <f>VLOOKUP(D9,'1.2 HR-Data luong'!B:AK,34,0)</f>
        <v>0</v>
      </c>
      <c r="AT9" s="260">
        <f>VLOOKUP($D9,'1.2 HR-Data luong'!$B:$BG,'1.2 HR-Data luong'!AD$5,0)</f>
        <v>200000</v>
      </c>
      <c r="AU9" s="264">
        <f>VLOOKUP($D9,'1.2 HR-Data luong'!$B:$BG,'1.2 HR-Data luong'!AE$5,0)</f>
        <v>15</v>
      </c>
      <c r="AV9" s="264">
        <f>VLOOKUP($D9,'1.2 HR-Data luong'!B:R,'1.2 HR-Data luong'!R$5,0)</f>
        <v>20.5</v>
      </c>
      <c r="AW9" s="138">
        <f t="shared" si="0"/>
        <v>146341.46341463414</v>
      </c>
      <c r="AX9" s="260">
        <f>VLOOKUP($D9,'1.2 HR-Data luong'!$B:$BG,'1.2 HR-Data luong'!AF$5,0)</f>
        <v>200000</v>
      </c>
      <c r="AY9" s="264">
        <f>VLOOKUP($D9,'1.2 HR-Data luong'!$B:$BG,'1.2 HR-Data luong'!AG$5,0)</f>
        <v>15</v>
      </c>
      <c r="AZ9" s="264">
        <f t="shared" ref="AZ9:AZ17" si="21">AV9</f>
        <v>20.5</v>
      </c>
      <c r="BA9" s="138">
        <f t="shared" ref="BA9:BA17" si="22">AX9*AY9/AZ9</f>
        <v>146341.46341463414</v>
      </c>
      <c r="BB9" s="260">
        <v>0</v>
      </c>
      <c r="BC9" s="140">
        <f>VLOOKUP(D9,'1.2 HR-Data luong'!B:R,17,0)</f>
        <v>20.5</v>
      </c>
      <c r="BD9" s="141">
        <f t="shared" si="1"/>
        <v>2036444.4444444443</v>
      </c>
      <c r="BE9" s="139">
        <f t="shared" ref="BE9:BE17" si="23">SUM(AS9,AW9,BA9,BB9)/$BC$4*BC9</f>
        <v>266666.66666666669</v>
      </c>
      <c r="BF9" s="138">
        <f>VLOOKUP($D9,'2.2 KT-THUONG'!$C:$R,'2.2 KT-THUONG'!K$5,0)</f>
        <v>300000</v>
      </c>
      <c r="BG9" s="138">
        <f>VLOOKUP($D9,'2.2 KT-THUONG'!$C:$R,'2.2 KT-THUONG'!L$5,0)</f>
        <v>2000000</v>
      </c>
      <c r="BH9" s="138">
        <f>VLOOKUP($D9,'2.2 KT-THUONG'!$C:$R,'2.2 KT-THUONG'!M$5,0)</f>
        <v>200000</v>
      </c>
      <c r="BI9" s="138">
        <f>VLOOKUP($D9,'2.2 KT-THUONG'!$C:$R,'2.2 KT-THUONG'!N$5,0)</f>
        <v>0</v>
      </c>
      <c r="BJ9" s="138">
        <f>VLOOKUP($D9,'2.2 KT-THUONG'!$C:$R,'2.2 KT-THUONG'!O$5,0)</f>
        <v>20000000</v>
      </c>
      <c r="BK9" s="138">
        <f>VLOOKUP($D9,'2.2 KT-THUONG'!$C:$R,'2.2 KT-THUONG'!P$5,0)</f>
        <v>0</v>
      </c>
      <c r="BL9" s="138">
        <f>VLOOKUP($D9,'2.2 KT-THUONG'!$C:$R,'2.2 KT-THUONG'!Q$5,0)</f>
        <v>50000000</v>
      </c>
      <c r="BM9" s="138">
        <f>VLOOKUP($D9,'2.2 KT-THUONG'!$C:$R,'2.2 KT-THUONG'!R$5,0)</f>
        <v>0</v>
      </c>
      <c r="BN9" s="138"/>
      <c r="BO9" s="139">
        <f t="shared" ref="BO9:BO17" si="24">SUM(BD9:BN9)</f>
        <v>74803111.111111104</v>
      </c>
      <c r="BP9" s="260">
        <f t="shared" ref="BP9:BP17" si="25">$BP$6</f>
        <v>600000</v>
      </c>
      <c r="BQ9" s="300">
        <f t="shared" ref="BQ9:BQ17" si="26">BC9</f>
        <v>20.5</v>
      </c>
      <c r="BR9" s="301">
        <v>22.5</v>
      </c>
      <c r="BS9" s="260">
        <f t="shared" ref="BS9:BS17" si="27">BP9/BR9*BQ9</f>
        <v>546666.66666666674</v>
      </c>
      <c r="BT9" s="260">
        <f t="shared" ref="BT9:BT17" si="28">BL9</f>
        <v>50000000</v>
      </c>
      <c r="BU9" s="260">
        <f t="shared" ref="BU9:BU17" si="29">BM9</f>
        <v>0</v>
      </c>
      <c r="BV9" s="302">
        <f t="shared" ref="BV9:BV17" si="30">BN9</f>
        <v>0</v>
      </c>
      <c r="BW9" s="260">
        <f>VLOOKUP(D9,'2.3 KT-GIAM TRU'!C:U,17,0)</f>
        <v>0</v>
      </c>
      <c r="BX9" s="260">
        <f t="shared" ref="BX9:BX17" si="31">CT9</f>
        <v>160000</v>
      </c>
      <c r="BY9" s="260">
        <f t="shared" si="2"/>
        <v>30000</v>
      </c>
      <c r="BZ9" s="260">
        <f t="shared" si="3"/>
        <v>20000</v>
      </c>
      <c r="CA9" s="260"/>
      <c r="CB9" s="260">
        <f t="shared" ref="CB9:CB17" si="32">IF(BQ9&gt;0,$CB$6,0)</f>
        <v>9000000</v>
      </c>
      <c r="CC9" s="301">
        <f>VLOOKUP(D9,'2.3 KT-GIAM TRU'!C:V,20,0)</f>
        <v>0</v>
      </c>
      <c r="CD9" s="260">
        <f t="shared" ref="CD9:CD17" si="33">CC9*$CD$6</f>
        <v>0</v>
      </c>
      <c r="CE9" s="302">
        <f t="shared" ref="CE9:CE17" si="34">SUM(CB9,CD9)</f>
        <v>9000000</v>
      </c>
      <c r="CF9" s="302">
        <f t="shared" ref="CF9:CF17" si="35">MAX(0,BO9-SUM(BS9,BT9:BW9,BX9:CA9,CE9))</f>
        <v>15046444.44444444</v>
      </c>
      <c r="CG9" s="302">
        <f>IF(CF9&gt;'2.1 KT-Update ty le'!$A$16,CF9*'2.1 KT-Update ty le'!$B$17-'2.1 KT-Update ty le'!$E$17,IF(CF9&gt;'2.1 KT-Update ty le'!$A$15, CF9*'2.1 KT-Update ty le'!$B$16-'2.1 KT-Update ty le'!$E$16,IF(CF9&gt;'2.1 KT-Update ty le'!$A$14, CF9*'2.1 KT-Update ty le'!$B$15-'2.1 KT-Update ty le'!$E$15,IF(CF9&gt;'2.1 KT-Update ty le'!$A$13, CF9*'2.1 KT-Update ty le'!$B$14-'2.1 KT-Update ty le'!$E$14,IF(CF9&gt;'2.1 KT-Update ty le'!$A$12, CF9*'2.1 KT-Update ty le'!$B$13-'2.1 KT-Update ty le'!$E$13,IF(CF9&gt;'2.1 KT-Update ty le'!$A$11, CF9*'2.1 KT-Update ty le'!$B$12-'2.1 KT-Update ty le'!$E$12,IF(CF9&gt;0, CF9*'2.1 KT-Update ty le'!$B$11,0)))))))</f>
        <v>1506966.666666666</v>
      </c>
      <c r="CH9" s="260">
        <f>VLOOKUP(D9,'2.3 KT-GIAM TRU'!C:V,18,0)</f>
        <v>0</v>
      </c>
      <c r="CI9" s="260">
        <f>VLOOKUP(D9,'2.3 KT-GIAM TRU'!C:V,19,0)</f>
        <v>0</v>
      </c>
      <c r="CJ9" s="138">
        <f t="shared" si="4"/>
        <v>1506966.666666666</v>
      </c>
      <c r="CK9" s="297">
        <f>VLOOKUP($D9,'1.2 HR-Data luong'!$B:$V,'1.2 HR-Data luong'!S$5,0)</f>
        <v>2000000</v>
      </c>
      <c r="CL9" s="297">
        <f>VLOOKUP($D9,'1.2 HR-Data luong'!$B:$V,'1.2 HR-Data luong'!T$5,0)</f>
        <v>0</v>
      </c>
      <c r="CM9" s="303">
        <f>VLOOKUP($D9,'1.2 HR-Data luong'!$B:$V,'1.2 HR-Data luong'!U$5,0)</f>
        <v>0</v>
      </c>
      <c r="CN9" s="304">
        <f>VLOOKUP($D9,'1.2 HR-Data luong'!$B:$V,'1.2 HR-Data luong'!V$5,0)</f>
        <v>0</v>
      </c>
      <c r="CO9" s="260">
        <f t="shared" ref="CO9:CO17" si="36">IF(CM9&gt;0,CL9,CK9)</f>
        <v>2000000</v>
      </c>
      <c r="CP9" s="260">
        <f t="shared" si="5"/>
        <v>350000</v>
      </c>
      <c r="CQ9" s="260">
        <f t="shared" si="5"/>
        <v>60000</v>
      </c>
      <c r="CR9" s="260">
        <f t="shared" si="5"/>
        <v>20000</v>
      </c>
      <c r="CS9" s="260">
        <f t="shared" si="5"/>
        <v>40000</v>
      </c>
      <c r="CT9" s="260">
        <f t="shared" si="5"/>
        <v>160000</v>
      </c>
      <c r="CU9" s="260">
        <f t="shared" si="5"/>
        <v>30000</v>
      </c>
      <c r="CV9" s="260">
        <f t="shared" si="5"/>
        <v>20000</v>
      </c>
      <c r="CW9" s="260">
        <f t="shared" si="5"/>
        <v>210000</v>
      </c>
      <c r="CX9" s="260">
        <f t="shared" si="5"/>
        <v>20000</v>
      </c>
      <c r="CY9" s="260">
        <f t="shared" si="5"/>
        <v>510000</v>
      </c>
      <c r="CZ9" s="260">
        <f t="shared" si="5"/>
        <v>90000</v>
      </c>
      <c r="DA9" s="260">
        <f t="shared" si="5"/>
        <v>40000</v>
      </c>
      <c r="DB9" s="260">
        <f t="shared" si="5"/>
        <v>60000</v>
      </c>
      <c r="DC9" s="138">
        <f t="shared" ref="DC9:DC17" si="37">CW9</f>
        <v>210000</v>
      </c>
      <c r="DD9" s="138">
        <f t="shared" ref="DD9:DD17" si="38">CX9</f>
        <v>20000</v>
      </c>
      <c r="DE9" s="138">
        <f>VLOOKUP($D9,'1.2 HR-Data luong'!$B:$BE,'1.2 HR-Data luong'!BE$5,0)</f>
        <v>0</v>
      </c>
      <c r="DF9" s="138">
        <f>VLOOKUP($D9,'1.2 HR-Data luong'!$B:$BE,'1.2 HR-Data luong'!AM$5,0)</f>
        <v>0</v>
      </c>
      <c r="DG9" s="138">
        <f>VLOOKUP($D9,'1.2 HR-Data luong'!$B:$BE,'1.2 HR-Data luong'!AN$5,0)</f>
        <v>1000000</v>
      </c>
      <c r="DH9" s="138">
        <f>VLOOKUP(D9,'2.3 KT-GIAM TRU'!C:S,16,0)</f>
        <v>500000</v>
      </c>
      <c r="DI9" s="138">
        <f>VLOOKUP(D9,'2.3 KT-GIAM TRU'!C:S,15,0)</f>
        <v>315000</v>
      </c>
      <c r="DJ9" s="139">
        <f t="shared" ref="DJ9:DJ17" si="39">BO9-SUM(CJ9,DC9,DD9,DE9,DF9,DG9,DH9,DI9)</f>
        <v>71251144.444444433</v>
      </c>
      <c r="DK9" s="142">
        <f>IF(N9="OFF",0,"X")</f>
        <v>0</v>
      </c>
      <c r="DL9" s="138">
        <f t="shared" ref="DL9:DL17" si="40">IF(DK9="X",DJ9,0)</f>
        <v>0</v>
      </c>
      <c r="DM9" s="139"/>
      <c r="DN9" s="138" t="s">
        <v>292</v>
      </c>
      <c r="DO9" s="138">
        <f>DJ9-DL9</f>
        <v>71251144.444444433</v>
      </c>
      <c r="DP9" s="139" t="s">
        <v>465</v>
      </c>
      <c r="DQ9" s="138"/>
      <c r="DR9" s="138"/>
      <c r="DS9" s="139"/>
      <c r="DT9" s="138"/>
      <c r="DU9" s="138"/>
      <c r="DV9" s="139"/>
      <c r="DW9" s="138"/>
      <c r="DX9" s="138"/>
      <c r="DY9" s="139">
        <f t="shared" ref="DY9:DY17" si="41">DJ9-SUM(DL9,DO9,DR9,DU9,DX9)</f>
        <v>0</v>
      </c>
      <c r="DZ9" s="138"/>
      <c r="EA9" s="138"/>
      <c r="EB9" s="138" t="str">
        <f>VLOOKUP(D9,'1.1 HR-Ho so nhan su'!B:AR,39,0)</f>
        <v>2. TPB</v>
      </c>
      <c r="EC9" s="138" t="str">
        <f>VLOOKUP(D9,'1.1 HR-Ho so nhan su'!B:AR,40,0)</f>
        <v>TPB002</v>
      </c>
      <c r="ED9" s="138" t="str">
        <f>VLOOKUP(D9,'1.1 HR-Ho so nhan su'!B:AR,41,0)</f>
        <v>Nguyễn Văn B</v>
      </c>
      <c r="EE9" s="138" t="str">
        <f>VLOOKUP(D9,'1.1 HR-Ho so nhan su'!B:AR,42,0)</f>
        <v>KHB</v>
      </c>
      <c r="EF9" s="138" t="str">
        <f>VLOOKUP(D9,'1.1 HR-Ho so nhan su'!B:AR,43,0)</f>
        <v>HN</v>
      </c>
      <c r="EG9" s="138">
        <f>VLOOKUP(D9,'1.1 HR-Ho so nhan su'!B:AS,44,0)</f>
        <v>0</v>
      </c>
    </row>
    <row r="10" spans="1:137" x14ac:dyDescent="0.25">
      <c r="A10" s="136">
        <v>2017.07</v>
      </c>
      <c r="B10" s="136">
        <v>3</v>
      </c>
      <c r="C10" s="136" t="s">
        <v>302</v>
      </c>
      <c r="D10" s="136" t="str">
        <f>VLOOKUP($B10,'1.2 HR-Data luong'!$A:$AD,'1.2 HR-Data luong'!B$5+1,0)</f>
        <v>ADS03</v>
      </c>
      <c r="E10" s="136" t="str">
        <f>VLOOKUP($B10,'1.2 HR-Data luong'!$A:$AD,'1.2 HR-Data luong'!C$5+1,0)</f>
        <v>BD02 HN</v>
      </c>
      <c r="F10" s="136" t="str">
        <f>VLOOKUP($B10,'1.2 HR-Data luong'!$A:$AD,'1.2 HR-Data luong'!D$5+1,0)</f>
        <v>NguyenVanC</v>
      </c>
      <c r="G10" s="136" t="str">
        <f>VLOOKUP($B10,'1.2 HR-Data luong'!$A:$AD,'1.2 HR-Data luong'!E$5+1,0)</f>
        <v>Nguyễn Văn C</v>
      </c>
      <c r="H10" s="136" t="str">
        <f>VLOOKUP($B10,'1.2 HR-Data luong'!$A:$AD,'1.2 HR-Data luong'!F$5+1,0)</f>
        <v>HN</v>
      </c>
      <c r="I10" s="136" t="str">
        <f>VLOOKUP($B10,'1.2 HR-Data luong'!$A:$AD,'1.2 HR-Data luong'!G$5+1,0)</f>
        <v>Trưởng phòng</v>
      </c>
      <c r="J10" s="136" t="str">
        <f>VLOOKUP($B10,'1.2 HR-Data luong'!$A:$AD,'1.2 HR-Data luong'!H$5+1,0)</f>
        <v>TP C2</v>
      </c>
      <c r="K10" s="136" t="str">
        <f>VLOOKUP($B10,'1.2 HR-Data luong'!$A:$AD,'1.2 HR-Data luong'!I$5+1,0)</f>
        <v>CT</v>
      </c>
      <c r="L10" s="136" t="str">
        <f>VLOOKUP($B10,'1.2 HR-Data luong'!$A:$AD,'1.2 HR-Data luong'!J$5+1,0)</f>
        <v>cnv@novaon.vn</v>
      </c>
      <c r="M10" s="136" t="str">
        <f>VLOOKUP($B10,'1.2 HR-Data luong'!$A:$AD,'1.2 HR-Data luong'!K$5+1,0)</f>
        <v>bom@novaon.vn</v>
      </c>
      <c r="N10" s="137" t="str">
        <f>VLOOKUP($D10,'1.2 HR-Data luong'!$B:$BG,'1.2 HR-Data luong'!BF$5,0)</f>
        <v>ON</v>
      </c>
      <c r="O10" s="142">
        <f>VLOOKUP($D10,'1.2 HR-Data luong'!$B:$BG,'1.2 HR-Data luong'!L$5,0)</f>
        <v>3000000</v>
      </c>
      <c r="P10" s="142">
        <f>VLOOKUP($D10,'1.2 HR-Data luong'!$B:$BG,'1.2 HR-Data luong'!M$5,0)</f>
        <v>0</v>
      </c>
      <c r="Q10" s="294">
        <f>VLOOKUP($D10,'1.2 HR-Data luong'!$B:$BG,'1.2 HR-Data luong'!N$5,0)</f>
        <v>0</v>
      </c>
      <c r="R10" s="136">
        <f>VLOOKUP($D10,'1.2 HR-Data luong'!$B:$BG,'1.2 HR-Data luong'!O$5,0)</f>
        <v>0</v>
      </c>
      <c r="S10" s="295">
        <f>VLOOKUP($D10,'1.2 HR-Data luong'!$B:$BG,'1.2 HR-Data luong'!P$5,0)</f>
        <v>22.5</v>
      </c>
      <c r="T10" s="295">
        <f>VLOOKUP($D10,'1.2 HR-Data luong'!$B:$BG,'1.2 HR-Data luong'!Q$5,0)</f>
        <v>0</v>
      </c>
      <c r="U10" s="295">
        <f>VLOOKUP($D10,'1.2 HR-Data luong'!$B:$BG,'1.2 HR-Data luong'!R$5,0)</f>
        <v>20.5</v>
      </c>
      <c r="V10" s="296">
        <f>VLOOKUP($D10,'1.2 HR-Data luong'!$B:$BG,'1.2 HR-Data luong'!W$5,0)</f>
        <v>0.03</v>
      </c>
      <c r="W10" s="296">
        <f>VLOOKUP($D10,'1.2 HR-Data luong'!$B:$BG,'1.2 HR-Data luong'!X$5,0)</f>
        <v>0</v>
      </c>
      <c r="X10" s="294">
        <f>VLOOKUP($D10,'1.2 HR-Data luong'!$B:$BG,'1.2 HR-Data luong'!Y$5,0)</f>
        <v>0</v>
      </c>
      <c r="Y10" s="295">
        <f>VLOOKUP($D10,'1.2 HR-Data luong'!$B:$BG,'1.2 HR-Data luong'!Z$5,0)</f>
        <v>0</v>
      </c>
      <c r="Z10" s="295">
        <f>VLOOKUP($D10,'1.2 HR-Data luong'!$B:$BG,'1.2 HR-Data luong'!AA$5,0)</f>
        <v>22.5</v>
      </c>
      <c r="AA10" s="295">
        <f>VLOOKUP($D10,'1.2 HR-Data luong'!$B:$BG,'1.2 HR-Data luong'!AB$5,0)</f>
        <v>0</v>
      </c>
      <c r="AB10" s="295">
        <f>VLOOKUP($D10,'1.2 HR-Data luong'!$B:$BG,'1.2 HR-Data luong'!AC$5,0)</f>
        <v>22.5</v>
      </c>
      <c r="AC10" s="297">
        <f t="shared" si="6"/>
        <v>3000000</v>
      </c>
      <c r="AD10" s="298">
        <f t="shared" si="7"/>
        <v>0.03</v>
      </c>
      <c r="AE10" s="299">
        <f t="shared" si="8"/>
        <v>22.5</v>
      </c>
      <c r="AF10" s="297">
        <f t="shared" si="9"/>
        <v>3000000</v>
      </c>
      <c r="AG10" s="298">
        <f t="shared" si="10"/>
        <v>0.03</v>
      </c>
      <c r="AH10" s="299">
        <f t="shared" si="11"/>
        <v>0</v>
      </c>
      <c r="AI10" s="297">
        <f t="shared" si="12"/>
        <v>0</v>
      </c>
      <c r="AJ10" s="298">
        <f t="shared" si="13"/>
        <v>0.03</v>
      </c>
      <c r="AK10" s="299">
        <f t="shared" si="14"/>
        <v>0</v>
      </c>
      <c r="AL10" s="297">
        <f t="shared" si="15"/>
        <v>0</v>
      </c>
      <c r="AM10" s="298">
        <f t="shared" si="16"/>
        <v>0.03</v>
      </c>
      <c r="AN10" s="299">
        <f t="shared" si="17"/>
        <v>0</v>
      </c>
      <c r="AO10" s="260">
        <f t="shared" si="18"/>
        <v>90000</v>
      </c>
      <c r="AP10" s="138">
        <f t="shared" si="19"/>
        <v>3292682.9268292682</v>
      </c>
      <c r="AQ10" s="138">
        <f>VLOOKUP(D10,'3.2 ERP-PC THAM NIEN'!C:AK,35,0)</f>
        <v>90000</v>
      </c>
      <c r="AR10" s="139">
        <f t="shared" si="20"/>
        <v>3382682.9268292682</v>
      </c>
      <c r="AS10" s="138">
        <f>VLOOKUP(D10,'1.2 HR-Data luong'!B:AK,34,0)</f>
        <v>0</v>
      </c>
      <c r="AT10" s="260">
        <f>VLOOKUP($D10,'1.2 HR-Data luong'!$B:$BG,'1.2 HR-Data luong'!AD$5,0)</f>
        <v>200000</v>
      </c>
      <c r="AU10" s="264">
        <f>VLOOKUP($D10,'1.2 HR-Data luong'!$B:$BG,'1.2 HR-Data luong'!AE$5,0)</f>
        <v>15</v>
      </c>
      <c r="AV10" s="264">
        <f>VLOOKUP($D10,'1.2 HR-Data luong'!B:R,'1.2 HR-Data luong'!R$5,0)</f>
        <v>20.5</v>
      </c>
      <c r="AW10" s="138">
        <f t="shared" si="0"/>
        <v>146341.46341463414</v>
      </c>
      <c r="AX10" s="260">
        <f>VLOOKUP($D10,'1.2 HR-Data luong'!$B:$BG,'1.2 HR-Data luong'!AF$5,0)</f>
        <v>200000</v>
      </c>
      <c r="AY10" s="264">
        <f>VLOOKUP($D10,'1.2 HR-Data luong'!$B:$BG,'1.2 HR-Data luong'!AG$5,0)</f>
        <v>15</v>
      </c>
      <c r="AZ10" s="264">
        <f t="shared" si="21"/>
        <v>20.5</v>
      </c>
      <c r="BA10" s="138">
        <f t="shared" si="22"/>
        <v>146341.46341463414</v>
      </c>
      <c r="BB10" s="260">
        <v>0</v>
      </c>
      <c r="BC10" s="140">
        <f>VLOOKUP(D10,'1.2 HR-Data luong'!B:R,17,0)</f>
        <v>20.5</v>
      </c>
      <c r="BD10" s="141">
        <f t="shared" si="1"/>
        <v>3082000</v>
      </c>
      <c r="BE10" s="139">
        <f t="shared" si="23"/>
        <v>266666.66666666669</v>
      </c>
      <c r="BF10" s="138">
        <f>VLOOKUP($D10,'2.2 KT-THUONG'!$C:$R,'2.2 KT-THUONG'!K$5,0)</f>
        <v>300000</v>
      </c>
      <c r="BG10" s="138">
        <f>VLOOKUP($D10,'2.2 KT-THUONG'!$C:$R,'2.2 KT-THUONG'!L$5,0)</f>
        <v>3000000</v>
      </c>
      <c r="BH10" s="138">
        <f>VLOOKUP($D10,'2.2 KT-THUONG'!$C:$R,'2.2 KT-THUONG'!M$5,0)</f>
        <v>300000</v>
      </c>
      <c r="BI10" s="138">
        <f>VLOOKUP($D10,'2.2 KT-THUONG'!$C:$R,'2.2 KT-THUONG'!N$5,0)</f>
        <v>0</v>
      </c>
      <c r="BJ10" s="138">
        <f>VLOOKUP($D10,'2.2 KT-THUONG'!$C:$R,'2.2 KT-THUONG'!O$5,0)</f>
        <v>30000000</v>
      </c>
      <c r="BK10" s="138">
        <f>VLOOKUP($D10,'2.2 KT-THUONG'!$C:$R,'2.2 KT-THUONG'!P$5,0)</f>
        <v>0</v>
      </c>
      <c r="BL10" s="138">
        <f>VLOOKUP($D10,'2.2 KT-THUONG'!$C:$R,'2.2 KT-THUONG'!Q$5,0)</f>
        <v>50000000</v>
      </c>
      <c r="BM10" s="138">
        <f>VLOOKUP($D10,'2.2 KT-THUONG'!$C:$R,'2.2 KT-THUONG'!R$5,0)</f>
        <v>0</v>
      </c>
      <c r="BN10" s="138"/>
      <c r="BO10" s="139">
        <f t="shared" si="24"/>
        <v>86948666.666666657</v>
      </c>
      <c r="BP10" s="260">
        <f t="shared" si="25"/>
        <v>600000</v>
      </c>
      <c r="BQ10" s="300">
        <f t="shared" si="26"/>
        <v>20.5</v>
      </c>
      <c r="BR10" s="301">
        <v>22.5</v>
      </c>
      <c r="BS10" s="260">
        <f t="shared" si="27"/>
        <v>546666.66666666674</v>
      </c>
      <c r="BT10" s="260">
        <f t="shared" si="28"/>
        <v>50000000</v>
      </c>
      <c r="BU10" s="260">
        <f t="shared" si="29"/>
        <v>0</v>
      </c>
      <c r="BV10" s="302">
        <f t="shared" si="30"/>
        <v>0</v>
      </c>
      <c r="BW10" s="260">
        <f>VLOOKUP(D10,'2.3 KT-GIAM TRU'!C:U,17,0)</f>
        <v>0</v>
      </c>
      <c r="BX10" s="260">
        <f t="shared" si="31"/>
        <v>240000</v>
      </c>
      <c r="BY10" s="260">
        <f t="shared" si="2"/>
        <v>45000</v>
      </c>
      <c r="BZ10" s="260">
        <f t="shared" si="3"/>
        <v>30000</v>
      </c>
      <c r="CA10" s="260"/>
      <c r="CB10" s="260">
        <f t="shared" si="32"/>
        <v>9000000</v>
      </c>
      <c r="CC10" s="301">
        <f>VLOOKUP(D10,'2.3 KT-GIAM TRU'!C:V,20,0)</f>
        <v>0</v>
      </c>
      <c r="CD10" s="260">
        <f t="shared" si="33"/>
        <v>0</v>
      </c>
      <c r="CE10" s="302">
        <f t="shared" si="34"/>
        <v>9000000</v>
      </c>
      <c r="CF10" s="302">
        <f t="shared" si="35"/>
        <v>27086999.999999993</v>
      </c>
      <c r="CG10" s="302">
        <f>IF(CF10&gt;'2.1 KT-Update ty le'!$A$16,CF10*'2.1 KT-Update ty le'!$B$17-'2.1 KT-Update ty le'!$E$17,IF(CF10&gt;'2.1 KT-Update ty le'!$A$15, CF10*'2.1 KT-Update ty le'!$B$16-'2.1 KT-Update ty le'!$E$16,IF(CF10&gt;'2.1 KT-Update ty le'!$A$14, CF10*'2.1 KT-Update ty le'!$B$15-'2.1 KT-Update ty le'!$E$15,IF(CF10&gt;'2.1 KT-Update ty le'!$A$13, CF10*'2.1 KT-Update ty le'!$B$14-'2.1 KT-Update ty le'!$E$14,IF(CF10&gt;'2.1 KT-Update ty le'!$A$12, CF10*'2.1 KT-Update ty le'!$B$13-'2.1 KT-Update ty le'!$E$13,IF(CF10&gt;'2.1 KT-Update ty le'!$A$11, CF10*'2.1 KT-Update ty le'!$B$12-'2.1 KT-Update ty le'!$E$12,IF(CF10&gt;0, CF10*'2.1 KT-Update ty le'!$B$11,0)))))))</f>
        <v>3767399.9999999991</v>
      </c>
      <c r="CH10" s="260">
        <f>VLOOKUP(D10,'2.3 KT-GIAM TRU'!C:V,18,0)</f>
        <v>1000000</v>
      </c>
      <c r="CI10" s="260">
        <f>VLOOKUP(D10,'2.3 KT-GIAM TRU'!C:V,19,0)</f>
        <v>0</v>
      </c>
      <c r="CJ10" s="138">
        <f t="shared" si="4"/>
        <v>2767399.9999999991</v>
      </c>
      <c r="CK10" s="297">
        <f>VLOOKUP($D10,'1.2 HR-Data luong'!$B:$V,'1.2 HR-Data luong'!S$5,0)</f>
        <v>3000000</v>
      </c>
      <c r="CL10" s="297">
        <f>VLOOKUP($D10,'1.2 HR-Data luong'!$B:$V,'1.2 HR-Data luong'!T$5,0)</f>
        <v>0</v>
      </c>
      <c r="CM10" s="303">
        <f>VLOOKUP($D10,'1.2 HR-Data luong'!$B:$V,'1.2 HR-Data luong'!U$5,0)</f>
        <v>0</v>
      </c>
      <c r="CN10" s="304">
        <f>VLOOKUP($D10,'1.2 HR-Data luong'!$B:$V,'1.2 HR-Data luong'!V$5,0)</f>
        <v>0</v>
      </c>
      <c r="CO10" s="260">
        <f t="shared" si="36"/>
        <v>3000000</v>
      </c>
      <c r="CP10" s="260">
        <f t="shared" si="5"/>
        <v>525000</v>
      </c>
      <c r="CQ10" s="260">
        <f t="shared" si="5"/>
        <v>90000</v>
      </c>
      <c r="CR10" s="260">
        <f t="shared" si="5"/>
        <v>30000</v>
      </c>
      <c r="CS10" s="260">
        <f t="shared" si="5"/>
        <v>60000</v>
      </c>
      <c r="CT10" s="260">
        <f t="shared" si="5"/>
        <v>240000</v>
      </c>
      <c r="CU10" s="260">
        <f t="shared" si="5"/>
        <v>45000</v>
      </c>
      <c r="CV10" s="260">
        <f t="shared" si="5"/>
        <v>30000</v>
      </c>
      <c r="CW10" s="260">
        <f t="shared" si="5"/>
        <v>315000</v>
      </c>
      <c r="CX10" s="260">
        <f t="shared" si="5"/>
        <v>30000</v>
      </c>
      <c r="CY10" s="260">
        <f t="shared" si="5"/>
        <v>765000</v>
      </c>
      <c r="CZ10" s="260">
        <f t="shared" si="5"/>
        <v>135000</v>
      </c>
      <c r="DA10" s="260">
        <f t="shared" si="5"/>
        <v>60000</v>
      </c>
      <c r="DB10" s="260">
        <f t="shared" si="5"/>
        <v>90000</v>
      </c>
      <c r="DC10" s="138">
        <f t="shared" si="37"/>
        <v>315000</v>
      </c>
      <c r="DD10" s="138">
        <f t="shared" si="38"/>
        <v>30000</v>
      </c>
      <c r="DE10" s="138">
        <f>VLOOKUP($D10,'1.2 HR-Data luong'!$B:$BE,'1.2 HR-Data luong'!BE$5,0)</f>
        <v>30000</v>
      </c>
      <c r="DF10" s="138">
        <f>VLOOKUP($D10,'1.2 HR-Data luong'!$B:$BE,'1.2 HR-Data luong'!AM$5,0)</f>
        <v>0</v>
      </c>
      <c r="DG10" s="138">
        <f>VLOOKUP($D10,'1.2 HR-Data luong'!$B:$BE,'1.2 HR-Data luong'!AN$5,0)</f>
        <v>0</v>
      </c>
      <c r="DH10" s="138">
        <f>VLOOKUP(D10,'2.3 KT-GIAM TRU'!C:S,16,0)</f>
        <v>0</v>
      </c>
      <c r="DI10" s="138">
        <f>VLOOKUP(D10,'2.3 KT-GIAM TRU'!C:S,15,0)</f>
        <v>0</v>
      </c>
      <c r="DJ10" s="139">
        <f t="shared" si="39"/>
        <v>83806266.666666657</v>
      </c>
      <c r="DK10" s="142">
        <v>0</v>
      </c>
      <c r="DL10" s="138">
        <f t="shared" si="40"/>
        <v>0</v>
      </c>
      <c r="DM10" s="139"/>
      <c r="DN10" s="138"/>
      <c r="DO10" s="138"/>
      <c r="DP10" s="139"/>
      <c r="DQ10" s="138"/>
      <c r="DR10" s="138"/>
      <c r="DS10" s="139"/>
      <c r="DT10" s="138"/>
      <c r="DU10" s="138"/>
      <c r="DV10" s="139"/>
      <c r="DW10" s="138" t="s">
        <v>292</v>
      </c>
      <c r="DX10" s="138">
        <f>DJ10-SUM(DL10,DO10,DR10,DU10)</f>
        <v>83806266.666666657</v>
      </c>
      <c r="DY10" s="139">
        <f t="shared" si="41"/>
        <v>0</v>
      </c>
      <c r="DZ10" s="138"/>
      <c r="EA10" s="138"/>
      <c r="EB10" s="138" t="str">
        <f>VLOOKUP(D10,'1.1 HR-Ho so nhan su'!B:AR,39,0)</f>
        <v>2. TPB</v>
      </c>
      <c r="EC10" s="138" t="str">
        <f>VLOOKUP(D10,'1.1 HR-Ho so nhan su'!B:AR,40,0)</f>
        <v>TPB003</v>
      </c>
      <c r="ED10" s="138" t="str">
        <f>VLOOKUP(D10,'1.1 HR-Ho so nhan su'!B:AR,41,0)</f>
        <v>Nguyễn Văn C</v>
      </c>
      <c r="EE10" s="138" t="str">
        <f>VLOOKUP(D10,'1.1 HR-Ho so nhan su'!B:AR,42,0)</f>
        <v>KHB</v>
      </c>
      <c r="EF10" s="138" t="str">
        <f>VLOOKUP(D10,'1.1 HR-Ho so nhan su'!B:AR,43,0)</f>
        <v>HN</v>
      </c>
      <c r="EG10" s="138">
        <f>VLOOKUP(D10,'1.1 HR-Ho so nhan su'!B:AS,44,0)</f>
        <v>0</v>
      </c>
    </row>
    <row r="11" spans="1:137" x14ac:dyDescent="0.25">
      <c r="A11" s="136">
        <v>2017.07</v>
      </c>
      <c r="B11" s="136">
        <v>4</v>
      </c>
      <c r="C11" s="136" t="s">
        <v>302</v>
      </c>
      <c r="D11" s="136" t="str">
        <f>VLOOKUP($B11,'1.2 HR-Data luong'!$A:$AD,'1.2 HR-Data luong'!B$5+1,0)</f>
        <v>ADS04</v>
      </c>
      <c r="E11" s="136" t="str">
        <f>VLOOKUP($B11,'1.2 HR-Data luong'!$A:$AD,'1.2 HR-Data luong'!C$5+1,0)</f>
        <v>BD02 HN</v>
      </c>
      <c r="F11" s="136" t="str">
        <f>VLOOKUP($B11,'1.2 HR-Data luong'!$A:$AD,'1.2 HR-Data luong'!D$5+1,0)</f>
        <v>NguyenVanD</v>
      </c>
      <c r="G11" s="136" t="str">
        <f>VLOOKUP($B11,'1.2 HR-Data luong'!$A:$AD,'1.2 HR-Data luong'!E$5+1,0)</f>
        <v>Nguyễn Văn D</v>
      </c>
      <c r="H11" s="136" t="str">
        <f>VLOOKUP($B11,'1.2 HR-Data luong'!$A:$AD,'1.2 HR-Data luong'!F$5+1,0)</f>
        <v>HN</v>
      </c>
      <c r="I11" s="136" t="str">
        <f>VLOOKUP($B11,'1.2 HR-Data luong'!$A:$AD,'1.2 HR-Data luong'!G$5+1,0)</f>
        <v>Nhân viên</v>
      </c>
      <c r="J11" s="136" t="str">
        <f>VLOOKUP($B11,'1.2 HR-Data luong'!$A:$AD,'1.2 HR-Data luong'!H$5+1,0)</f>
        <v>C2</v>
      </c>
      <c r="K11" s="136" t="str">
        <f>VLOOKUP($B11,'1.2 HR-Data luong'!$A:$AD,'1.2 HR-Data luong'!I$5+1,0)</f>
        <v>CT</v>
      </c>
      <c r="L11" s="136" t="str">
        <f>VLOOKUP($B11,'1.2 HR-Data luong'!$A:$AD,'1.2 HR-Data luong'!J$5+1,0)</f>
        <v>dnv@novaon.vn</v>
      </c>
      <c r="M11" s="136" t="str">
        <f>VLOOKUP($B11,'1.2 HR-Data luong'!$A:$AD,'1.2 HR-Data luong'!K$5+1,0)</f>
        <v>cnv@novaon.vn</v>
      </c>
      <c r="N11" s="137" t="str">
        <f>VLOOKUP($D11,'1.2 HR-Data luong'!$B:$BG,'1.2 HR-Data luong'!BF$5,0)</f>
        <v>ON</v>
      </c>
      <c r="O11" s="142">
        <f>VLOOKUP($D11,'1.2 HR-Data luong'!$B:$BG,'1.2 HR-Data luong'!L$5,0)</f>
        <v>4000000</v>
      </c>
      <c r="P11" s="142">
        <f>VLOOKUP($D11,'1.2 HR-Data luong'!$B:$BG,'1.2 HR-Data luong'!M$5,0)</f>
        <v>0</v>
      </c>
      <c r="Q11" s="294">
        <f>VLOOKUP($D11,'1.2 HR-Data luong'!$B:$BG,'1.2 HR-Data luong'!N$5,0)</f>
        <v>0</v>
      </c>
      <c r="R11" s="136">
        <f>VLOOKUP($D11,'1.2 HR-Data luong'!$B:$BG,'1.2 HR-Data luong'!O$5,0)</f>
        <v>0</v>
      </c>
      <c r="S11" s="295">
        <f>VLOOKUP($D11,'1.2 HR-Data luong'!$B:$BG,'1.2 HR-Data luong'!P$5,0)</f>
        <v>22.5</v>
      </c>
      <c r="T11" s="295">
        <f>VLOOKUP($D11,'1.2 HR-Data luong'!$B:$BG,'1.2 HR-Data luong'!Q$5,0)</f>
        <v>0</v>
      </c>
      <c r="U11" s="295">
        <f>VLOOKUP($D11,'1.2 HR-Data luong'!$B:$BG,'1.2 HR-Data luong'!R$5,0)</f>
        <v>20.5</v>
      </c>
      <c r="V11" s="296">
        <f>VLOOKUP($D11,'1.2 HR-Data luong'!$B:$BG,'1.2 HR-Data luong'!W$5,0)</f>
        <v>0.04</v>
      </c>
      <c r="W11" s="296">
        <f>VLOOKUP($D11,'1.2 HR-Data luong'!$B:$BG,'1.2 HR-Data luong'!X$5,0)</f>
        <v>0</v>
      </c>
      <c r="X11" s="294">
        <f>VLOOKUP($D11,'1.2 HR-Data luong'!$B:$BG,'1.2 HR-Data luong'!Y$5,0)</f>
        <v>0</v>
      </c>
      <c r="Y11" s="295">
        <f>VLOOKUP($D11,'1.2 HR-Data luong'!$B:$BG,'1.2 HR-Data luong'!Z$5,0)</f>
        <v>0</v>
      </c>
      <c r="Z11" s="295">
        <f>VLOOKUP($D11,'1.2 HR-Data luong'!$B:$BG,'1.2 HR-Data luong'!AA$5,0)</f>
        <v>22.5</v>
      </c>
      <c r="AA11" s="295">
        <f>VLOOKUP($D11,'1.2 HR-Data luong'!$B:$BG,'1.2 HR-Data luong'!AB$5,0)</f>
        <v>0</v>
      </c>
      <c r="AB11" s="295">
        <f>VLOOKUP($D11,'1.2 HR-Data luong'!$B:$BG,'1.2 HR-Data luong'!AC$5,0)</f>
        <v>22.5</v>
      </c>
      <c r="AC11" s="297">
        <f t="shared" si="6"/>
        <v>4000000</v>
      </c>
      <c r="AD11" s="298">
        <f t="shared" si="7"/>
        <v>0.04</v>
      </c>
      <c r="AE11" s="299">
        <f t="shared" si="8"/>
        <v>22.5</v>
      </c>
      <c r="AF11" s="297">
        <f t="shared" si="9"/>
        <v>4000000</v>
      </c>
      <c r="AG11" s="298">
        <f t="shared" si="10"/>
        <v>0.04</v>
      </c>
      <c r="AH11" s="299">
        <f t="shared" si="11"/>
        <v>0</v>
      </c>
      <c r="AI11" s="297">
        <f t="shared" si="12"/>
        <v>0</v>
      </c>
      <c r="AJ11" s="298">
        <f t="shared" si="13"/>
        <v>0.04</v>
      </c>
      <c r="AK11" s="299">
        <f t="shared" si="14"/>
        <v>0</v>
      </c>
      <c r="AL11" s="297">
        <f t="shared" si="15"/>
        <v>0</v>
      </c>
      <c r="AM11" s="298">
        <f t="shared" si="16"/>
        <v>0.04</v>
      </c>
      <c r="AN11" s="299">
        <f t="shared" si="17"/>
        <v>0</v>
      </c>
      <c r="AO11" s="260">
        <f t="shared" si="18"/>
        <v>160000</v>
      </c>
      <c r="AP11" s="138">
        <f t="shared" si="19"/>
        <v>4390243.9024390243</v>
      </c>
      <c r="AQ11" s="138">
        <f>VLOOKUP(D11,'3.2 ERP-PC THAM NIEN'!C:AK,35,0)</f>
        <v>160000</v>
      </c>
      <c r="AR11" s="139">
        <f t="shared" si="20"/>
        <v>4550243.9024390243</v>
      </c>
      <c r="AS11" s="138">
        <f>VLOOKUP(D11,'1.2 HR-Data luong'!B:AK,34,0)</f>
        <v>0</v>
      </c>
      <c r="AT11" s="260">
        <f>VLOOKUP($D11,'1.2 HR-Data luong'!$B:$BG,'1.2 HR-Data luong'!AD$5,0)</f>
        <v>200000</v>
      </c>
      <c r="AU11" s="264">
        <f>VLOOKUP($D11,'1.2 HR-Data luong'!$B:$BG,'1.2 HR-Data luong'!AE$5,0)</f>
        <v>15</v>
      </c>
      <c r="AV11" s="264">
        <f>VLOOKUP($D11,'1.2 HR-Data luong'!B:R,'1.2 HR-Data luong'!R$5,0)</f>
        <v>20.5</v>
      </c>
      <c r="AW11" s="138">
        <f t="shared" si="0"/>
        <v>146341.46341463414</v>
      </c>
      <c r="AX11" s="260">
        <f>VLOOKUP($D11,'1.2 HR-Data luong'!$B:$BG,'1.2 HR-Data luong'!AF$5,0)</f>
        <v>200000</v>
      </c>
      <c r="AY11" s="264">
        <f>VLOOKUP($D11,'1.2 HR-Data luong'!$B:$BG,'1.2 HR-Data luong'!AG$5,0)</f>
        <v>15</v>
      </c>
      <c r="AZ11" s="264">
        <f t="shared" si="21"/>
        <v>20.5</v>
      </c>
      <c r="BA11" s="138">
        <f t="shared" si="22"/>
        <v>146341.46341463414</v>
      </c>
      <c r="BB11" s="260">
        <v>0</v>
      </c>
      <c r="BC11" s="140">
        <f>VLOOKUP(D11,'1.2 HR-Data luong'!B:R,17,0)</f>
        <v>20.5</v>
      </c>
      <c r="BD11" s="141">
        <f t="shared" si="1"/>
        <v>4145777.7777777775</v>
      </c>
      <c r="BE11" s="139">
        <f t="shared" si="23"/>
        <v>266666.66666666669</v>
      </c>
      <c r="BF11" s="138">
        <f>VLOOKUP($D11,'2.2 KT-THUONG'!$C:$R,'2.2 KT-THUONG'!K$5,0)</f>
        <v>300000</v>
      </c>
      <c r="BG11" s="138">
        <f>VLOOKUP($D11,'2.2 KT-THUONG'!$C:$R,'2.2 KT-THUONG'!L$5,0)</f>
        <v>4000000</v>
      </c>
      <c r="BH11" s="138">
        <f>VLOOKUP($D11,'2.2 KT-THUONG'!$C:$R,'2.2 KT-THUONG'!M$5,0)</f>
        <v>400000</v>
      </c>
      <c r="BI11" s="138">
        <f>VLOOKUP($D11,'2.2 KT-THUONG'!$C:$R,'2.2 KT-THUONG'!N$5,0)</f>
        <v>0</v>
      </c>
      <c r="BJ11" s="138">
        <f>VLOOKUP($D11,'2.2 KT-THUONG'!$C:$R,'2.2 KT-THUONG'!O$5,0)</f>
        <v>40000000</v>
      </c>
      <c r="BK11" s="138">
        <f>VLOOKUP($D11,'2.2 KT-THUONG'!$C:$R,'2.2 KT-THUONG'!P$5,0)</f>
        <v>0</v>
      </c>
      <c r="BL11" s="138">
        <f>VLOOKUP($D11,'2.2 KT-THUONG'!$C:$R,'2.2 KT-THUONG'!Q$5,0)</f>
        <v>50000000</v>
      </c>
      <c r="BM11" s="138">
        <f>VLOOKUP($D11,'2.2 KT-THUONG'!$C:$R,'2.2 KT-THUONG'!R$5,0)</f>
        <v>0</v>
      </c>
      <c r="BN11" s="138"/>
      <c r="BO11" s="139">
        <f t="shared" si="24"/>
        <v>99112444.444444448</v>
      </c>
      <c r="BP11" s="260">
        <f t="shared" si="25"/>
        <v>600000</v>
      </c>
      <c r="BQ11" s="300">
        <f t="shared" si="26"/>
        <v>20.5</v>
      </c>
      <c r="BR11" s="301">
        <v>22.5</v>
      </c>
      <c r="BS11" s="260">
        <f t="shared" si="27"/>
        <v>546666.66666666674</v>
      </c>
      <c r="BT11" s="260">
        <f t="shared" si="28"/>
        <v>50000000</v>
      </c>
      <c r="BU11" s="260">
        <f t="shared" si="29"/>
        <v>0</v>
      </c>
      <c r="BV11" s="302">
        <f t="shared" si="30"/>
        <v>0</v>
      </c>
      <c r="BW11" s="260">
        <f>VLOOKUP(D11,'2.3 KT-GIAM TRU'!C:U,17,0)</f>
        <v>0</v>
      </c>
      <c r="BX11" s="260">
        <f t="shared" si="31"/>
        <v>320000</v>
      </c>
      <c r="BY11" s="260">
        <f t="shared" si="2"/>
        <v>60000</v>
      </c>
      <c r="BZ11" s="260">
        <f t="shared" si="3"/>
        <v>40000</v>
      </c>
      <c r="CA11" s="260"/>
      <c r="CB11" s="260">
        <f t="shared" si="32"/>
        <v>9000000</v>
      </c>
      <c r="CC11" s="301">
        <f>VLOOKUP(D11,'2.3 KT-GIAM TRU'!C:V,20,0)</f>
        <v>0</v>
      </c>
      <c r="CD11" s="260">
        <f t="shared" si="33"/>
        <v>0</v>
      </c>
      <c r="CE11" s="302">
        <f t="shared" si="34"/>
        <v>9000000</v>
      </c>
      <c r="CF11" s="302">
        <f t="shared" si="35"/>
        <v>39145777.777777784</v>
      </c>
      <c r="CG11" s="302">
        <f>IF(CF11&gt;'2.1 KT-Update ty le'!$A$16,CF11*'2.1 KT-Update ty le'!$B$17-'2.1 KT-Update ty le'!$E$17,IF(CF11&gt;'2.1 KT-Update ty le'!$A$15, CF11*'2.1 KT-Update ty le'!$B$16-'2.1 KT-Update ty le'!$E$16,IF(CF11&gt;'2.1 KT-Update ty le'!$A$14, CF11*'2.1 KT-Update ty le'!$B$15-'2.1 KT-Update ty le'!$E$15,IF(CF11&gt;'2.1 KT-Update ty le'!$A$13, CF11*'2.1 KT-Update ty le'!$B$14-'2.1 KT-Update ty le'!$E$14,IF(CF11&gt;'2.1 KT-Update ty le'!$A$12, CF11*'2.1 KT-Update ty le'!$B$13-'2.1 KT-Update ty le'!$E$13,IF(CF11&gt;'2.1 KT-Update ty le'!$A$11, CF11*'2.1 KT-Update ty le'!$B$12-'2.1 KT-Update ty le'!$E$12,IF(CF11&gt;0, CF11*'2.1 KT-Update ty le'!$B$11,0)))))))</f>
        <v>6536444.4444444459</v>
      </c>
      <c r="CH11" s="260">
        <f>VLOOKUP(D11,'2.3 KT-GIAM TRU'!C:V,18,0)</f>
        <v>0</v>
      </c>
      <c r="CI11" s="260">
        <f>VLOOKUP(D11,'2.3 KT-GIAM TRU'!C:V,19,0)</f>
        <v>0</v>
      </c>
      <c r="CJ11" s="138">
        <f t="shared" si="4"/>
        <v>6536444.4444444459</v>
      </c>
      <c r="CK11" s="297">
        <f>VLOOKUP($D11,'1.2 HR-Data luong'!$B:$V,'1.2 HR-Data luong'!S$5,0)</f>
        <v>4000000</v>
      </c>
      <c r="CL11" s="297">
        <f>VLOOKUP($D11,'1.2 HR-Data luong'!$B:$V,'1.2 HR-Data luong'!T$5,0)</f>
        <v>0</v>
      </c>
      <c r="CM11" s="303">
        <f>VLOOKUP($D11,'1.2 HR-Data luong'!$B:$V,'1.2 HR-Data luong'!U$5,0)</f>
        <v>0</v>
      </c>
      <c r="CN11" s="304">
        <f>VLOOKUP($D11,'1.2 HR-Data luong'!$B:$V,'1.2 HR-Data luong'!V$5,0)</f>
        <v>0</v>
      </c>
      <c r="CO11" s="260">
        <f t="shared" si="36"/>
        <v>4000000</v>
      </c>
      <c r="CP11" s="260">
        <f t="shared" si="5"/>
        <v>700000</v>
      </c>
      <c r="CQ11" s="260">
        <f t="shared" si="5"/>
        <v>120000</v>
      </c>
      <c r="CR11" s="260">
        <f t="shared" si="5"/>
        <v>40000</v>
      </c>
      <c r="CS11" s="260">
        <f t="shared" si="5"/>
        <v>80000</v>
      </c>
      <c r="CT11" s="260">
        <f t="shared" si="5"/>
        <v>320000</v>
      </c>
      <c r="CU11" s="260">
        <f t="shared" si="5"/>
        <v>60000</v>
      </c>
      <c r="CV11" s="260">
        <f t="shared" si="5"/>
        <v>40000</v>
      </c>
      <c r="CW11" s="260">
        <f t="shared" si="5"/>
        <v>420000</v>
      </c>
      <c r="CX11" s="260">
        <f t="shared" si="5"/>
        <v>40000</v>
      </c>
      <c r="CY11" s="260">
        <f t="shared" si="5"/>
        <v>1020000</v>
      </c>
      <c r="CZ11" s="260">
        <f t="shared" si="5"/>
        <v>180000</v>
      </c>
      <c r="DA11" s="260">
        <f t="shared" si="5"/>
        <v>80000</v>
      </c>
      <c r="DB11" s="260">
        <f t="shared" si="5"/>
        <v>120000</v>
      </c>
      <c r="DC11" s="138">
        <f t="shared" si="37"/>
        <v>420000</v>
      </c>
      <c r="DD11" s="138">
        <f t="shared" si="38"/>
        <v>40000</v>
      </c>
      <c r="DE11" s="138">
        <f>VLOOKUP($D11,'1.2 HR-Data luong'!$B:$BE,'1.2 HR-Data luong'!BE$5,0)</f>
        <v>0</v>
      </c>
      <c r="DF11" s="138">
        <f>VLOOKUP($D11,'1.2 HR-Data luong'!$B:$BE,'1.2 HR-Data luong'!AM$5,0)</f>
        <v>0</v>
      </c>
      <c r="DG11" s="138">
        <f>VLOOKUP($D11,'1.2 HR-Data luong'!$B:$BE,'1.2 HR-Data luong'!AN$5,0)</f>
        <v>0</v>
      </c>
      <c r="DH11" s="138">
        <f>VLOOKUP(D11,'2.3 KT-GIAM TRU'!C:S,16,0)</f>
        <v>0</v>
      </c>
      <c r="DI11" s="138">
        <f>VLOOKUP(D11,'2.3 KT-GIAM TRU'!C:S,15,0)</f>
        <v>0</v>
      </c>
      <c r="DJ11" s="139">
        <f t="shared" si="39"/>
        <v>92116000</v>
      </c>
      <c r="DK11" s="142" t="str">
        <f t="shared" ref="DK11:DK17" si="42">IF(N11="OFF",0,"X")</f>
        <v>X</v>
      </c>
      <c r="DL11" s="138">
        <f t="shared" si="40"/>
        <v>92116000</v>
      </c>
      <c r="DM11" s="139" t="s">
        <v>352</v>
      </c>
      <c r="DN11" s="138"/>
      <c r="DO11" s="138"/>
      <c r="DP11" s="139"/>
      <c r="DQ11" s="138"/>
      <c r="DR11" s="138"/>
      <c r="DS11" s="139"/>
      <c r="DT11" s="138"/>
      <c r="DU11" s="138"/>
      <c r="DV11" s="139"/>
      <c r="DW11" s="138"/>
      <c r="DX11" s="138"/>
      <c r="DY11" s="139">
        <f t="shared" si="41"/>
        <v>0</v>
      </c>
      <c r="DZ11" s="138"/>
      <c r="EA11" s="138"/>
      <c r="EB11" s="138" t="str">
        <f>VLOOKUP(D11,'1.1 HR-Ho so nhan su'!B:AR,39,0)</f>
        <v>2. TPB</v>
      </c>
      <c r="EC11" s="138" t="str">
        <f>VLOOKUP(D11,'1.1 HR-Ho so nhan su'!B:AR,40,0)</f>
        <v>TPB004</v>
      </c>
      <c r="ED11" s="138" t="str">
        <f>VLOOKUP(D11,'1.1 HR-Ho so nhan su'!B:AR,41,0)</f>
        <v>Nguyễn Văn D</v>
      </c>
      <c r="EE11" s="138" t="str">
        <f>VLOOKUP(D11,'1.1 HR-Ho so nhan su'!B:AR,42,0)</f>
        <v>KHB</v>
      </c>
      <c r="EF11" s="138" t="str">
        <f>VLOOKUP(D11,'1.1 HR-Ho so nhan su'!B:AR,43,0)</f>
        <v>HN</v>
      </c>
      <c r="EG11" s="138">
        <f>VLOOKUP(D11,'1.1 HR-Ho so nhan su'!B:AS,44,0)</f>
        <v>0</v>
      </c>
    </row>
    <row r="12" spans="1:137" x14ac:dyDescent="0.25">
      <c r="A12" s="136">
        <v>2017.07</v>
      </c>
      <c r="B12" s="136">
        <v>5</v>
      </c>
      <c r="C12" s="136" t="s">
        <v>302</v>
      </c>
      <c r="D12" s="136" t="str">
        <f>VLOOKUP($B12,'1.2 HR-Data luong'!$A:$AD,'1.2 HR-Data luong'!B$5+1,0)</f>
        <v>ADS05</v>
      </c>
      <c r="E12" s="136" t="str">
        <f>VLOOKUP($B12,'1.2 HR-Data luong'!$A:$AD,'1.2 HR-Data luong'!C$5+1,0)</f>
        <v>BD02 HN</v>
      </c>
      <c r="F12" s="136" t="str">
        <f>VLOOKUP($B12,'1.2 HR-Data luong'!$A:$AD,'1.2 HR-Data luong'!D$5+1,0)</f>
        <v>NguyenVanE</v>
      </c>
      <c r="G12" s="136" t="str">
        <f>VLOOKUP($B12,'1.2 HR-Data luong'!$A:$AD,'1.2 HR-Data luong'!E$5+1,0)</f>
        <v>Nguyễn Văn E</v>
      </c>
      <c r="H12" s="136" t="str">
        <f>VLOOKUP($B12,'1.2 HR-Data luong'!$A:$AD,'1.2 HR-Data luong'!F$5+1,0)</f>
        <v>HN</v>
      </c>
      <c r="I12" s="136" t="str">
        <f>VLOOKUP($B12,'1.2 HR-Data luong'!$A:$AD,'1.2 HR-Data luong'!G$5+1,0)</f>
        <v>Nhân viên</v>
      </c>
      <c r="J12" s="136" t="str">
        <f>VLOOKUP($B12,'1.2 HR-Data luong'!$A:$AD,'1.2 HR-Data luong'!H$5+1,0)</f>
        <v>C3</v>
      </c>
      <c r="K12" s="136" t="str">
        <f>VLOOKUP($B12,'1.2 HR-Data luong'!$A:$AD,'1.2 HR-Data luong'!I$5+1,0)</f>
        <v>CT</v>
      </c>
      <c r="L12" s="136" t="str">
        <f>VLOOKUP($B12,'1.2 HR-Data luong'!$A:$AD,'1.2 HR-Data luong'!J$5+1,0)</f>
        <v>env@novaon.vn</v>
      </c>
      <c r="M12" s="136" t="str">
        <f>VLOOKUP($B12,'1.2 HR-Data luong'!$A:$AD,'1.2 HR-Data luong'!K$5+1,0)</f>
        <v>cnv@novaon.vn</v>
      </c>
      <c r="N12" s="137" t="str">
        <f>VLOOKUP($D12,'1.2 HR-Data luong'!$B:$BG,'1.2 HR-Data luong'!BF$5,0)</f>
        <v>ON</v>
      </c>
      <c r="O12" s="142">
        <f>VLOOKUP($D12,'1.2 HR-Data luong'!$B:$BG,'1.2 HR-Data luong'!L$5,0)</f>
        <v>5000000</v>
      </c>
      <c r="P12" s="142">
        <f>VLOOKUP($D12,'1.2 HR-Data luong'!$B:$BG,'1.2 HR-Data luong'!M$5,0)</f>
        <v>10000000</v>
      </c>
      <c r="Q12" s="294">
        <f>VLOOKUP($D12,'1.2 HR-Data luong'!$B:$BG,'1.2 HR-Data luong'!N$5,0)</f>
        <v>42917</v>
      </c>
      <c r="R12" s="136" t="str">
        <f>VLOOKUP($D12,'1.2 HR-Data luong'!$B:$BG,'1.2 HR-Data luong'!O$5,0)</f>
        <v>Tăng lương do tăng cấp</v>
      </c>
      <c r="S12" s="295">
        <f>VLOOKUP($D12,'1.2 HR-Data luong'!$B:$BG,'1.2 HR-Data luong'!P$5,0)</f>
        <v>2</v>
      </c>
      <c r="T12" s="295">
        <f>VLOOKUP($D12,'1.2 HR-Data luong'!$B:$BG,'1.2 HR-Data luong'!Q$5,0)</f>
        <v>20.5</v>
      </c>
      <c r="U12" s="295">
        <f>VLOOKUP($D12,'1.2 HR-Data luong'!$B:$BG,'1.2 HR-Data luong'!R$5,0)</f>
        <v>20.5</v>
      </c>
      <c r="V12" s="296">
        <f>VLOOKUP($D12,'1.2 HR-Data luong'!$B:$BG,'1.2 HR-Data luong'!W$5,0)</f>
        <v>0.05</v>
      </c>
      <c r="W12" s="296">
        <f>VLOOKUP($D12,'1.2 HR-Data luong'!$B:$BG,'1.2 HR-Data luong'!X$5,0)</f>
        <v>0.06</v>
      </c>
      <c r="X12" s="294">
        <f>VLOOKUP($D12,'1.2 HR-Data luong'!$B:$BG,'1.2 HR-Data luong'!Y$5,0)</f>
        <v>42916</v>
      </c>
      <c r="Y12" s="295" t="str">
        <f>VLOOKUP($D12,'1.2 HR-Data luong'!$B:$BG,'1.2 HR-Data luong'!Z$5,0)</f>
        <v>Đủ 3 năm công tác</v>
      </c>
      <c r="Z12" s="295">
        <f>VLOOKUP($D12,'1.2 HR-Data luong'!$B:$BG,'1.2 HR-Data luong'!AA$5,0)</f>
        <v>1</v>
      </c>
      <c r="AA12" s="295">
        <f>VLOOKUP($D12,'1.2 HR-Data luong'!$B:$BG,'1.2 HR-Data luong'!AB$5,0)</f>
        <v>21.5</v>
      </c>
      <c r="AB12" s="295">
        <f>VLOOKUP($D12,'1.2 HR-Data luong'!$B:$BG,'1.2 HR-Data luong'!AC$5,0)</f>
        <v>22.5</v>
      </c>
      <c r="AC12" s="297">
        <f t="shared" si="6"/>
        <v>5000000</v>
      </c>
      <c r="AD12" s="298">
        <f t="shared" si="7"/>
        <v>0.05</v>
      </c>
      <c r="AE12" s="299">
        <f t="shared" si="8"/>
        <v>1</v>
      </c>
      <c r="AF12" s="297">
        <f t="shared" si="9"/>
        <v>5000000</v>
      </c>
      <c r="AG12" s="298">
        <f t="shared" si="10"/>
        <v>0.06</v>
      </c>
      <c r="AH12" s="299">
        <f t="shared" si="11"/>
        <v>1</v>
      </c>
      <c r="AI12" s="297">
        <f t="shared" si="12"/>
        <v>10000000</v>
      </c>
      <c r="AJ12" s="298">
        <f t="shared" si="13"/>
        <v>0.05</v>
      </c>
      <c r="AK12" s="299">
        <f t="shared" si="14"/>
        <v>0</v>
      </c>
      <c r="AL12" s="297">
        <f t="shared" si="15"/>
        <v>10000000</v>
      </c>
      <c r="AM12" s="298">
        <f t="shared" si="16"/>
        <v>0.06</v>
      </c>
      <c r="AN12" s="299">
        <f t="shared" si="17"/>
        <v>20.5</v>
      </c>
      <c r="AO12" s="260">
        <f t="shared" si="18"/>
        <v>571111.11111111112</v>
      </c>
      <c r="AP12" s="138">
        <f t="shared" si="19"/>
        <v>10487804.878048781</v>
      </c>
      <c r="AQ12" s="138">
        <f>VLOOKUP(D12,'3.2 ERP-PC THAM NIEN'!C:AK,35,0)</f>
        <v>571111.11111111112</v>
      </c>
      <c r="AR12" s="139">
        <f t="shared" si="20"/>
        <v>11058915.989159893</v>
      </c>
      <c r="AS12" s="138">
        <f>VLOOKUP(D12,'1.2 HR-Data luong'!B:AK,34,0)</f>
        <v>0</v>
      </c>
      <c r="AT12" s="260">
        <f>VLOOKUP($D12,'1.2 HR-Data luong'!$B:$BG,'1.2 HR-Data luong'!AD$5,0)</f>
        <v>200000</v>
      </c>
      <c r="AU12" s="264">
        <f>VLOOKUP($D12,'1.2 HR-Data luong'!$B:$BG,'1.2 HR-Data luong'!AE$5,0)</f>
        <v>22.5</v>
      </c>
      <c r="AV12" s="264">
        <f>VLOOKUP($D12,'1.2 HR-Data luong'!B:R,'1.2 HR-Data luong'!R$5,0)</f>
        <v>20.5</v>
      </c>
      <c r="AW12" s="138">
        <f t="shared" si="0"/>
        <v>219512.19512195123</v>
      </c>
      <c r="AX12" s="260">
        <f>VLOOKUP($D12,'1.2 HR-Data luong'!$B:$BG,'1.2 HR-Data luong'!AF$5,0)</f>
        <v>200000</v>
      </c>
      <c r="AY12" s="264">
        <f>VLOOKUP($D12,'1.2 HR-Data luong'!$B:$BG,'1.2 HR-Data luong'!AG$5,0)</f>
        <v>22.5</v>
      </c>
      <c r="AZ12" s="264">
        <f t="shared" si="21"/>
        <v>20.5</v>
      </c>
      <c r="BA12" s="138">
        <f t="shared" si="22"/>
        <v>219512.19512195123</v>
      </c>
      <c r="BB12" s="260">
        <v>0</v>
      </c>
      <c r="BC12" s="140">
        <f>VLOOKUP(D12,'1.2 HR-Data luong'!B:R,17,0)</f>
        <v>20.5</v>
      </c>
      <c r="BD12" s="141">
        <f t="shared" si="1"/>
        <v>10075901.234567903</v>
      </c>
      <c r="BE12" s="139">
        <f t="shared" si="23"/>
        <v>400000</v>
      </c>
      <c r="BF12" s="138">
        <f>VLOOKUP($D12,'2.2 KT-THUONG'!$C:$R,'2.2 KT-THUONG'!K$5,0)</f>
        <v>300000</v>
      </c>
      <c r="BG12" s="138">
        <f>VLOOKUP($D12,'2.2 KT-THUONG'!$C:$R,'2.2 KT-THUONG'!L$5,0)</f>
        <v>5000000</v>
      </c>
      <c r="BH12" s="138">
        <f>VLOOKUP($D12,'2.2 KT-THUONG'!$C:$R,'2.2 KT-THUONG'!M$5,0)</f>
        <v>500000</v>
      </c>
      <c r="BI12" s="138">
        <f>VLOOKUP($D12,'2.2 KT-THUONG'!$C:$R,'2.2 KT-THUONG'!N$5,0)</f>
        <v>0</v>
      </c>
      <c r="BJ12" s="138">
        <f>VLOOKUP($D12,'2.2 KT-THUONG'!$C:$R,'2.2 KT-THUONG'!O$5,0)</f>
        <v>50000000</v>
      </c>
      <c r="BK12" s="138">
        <f>VLOOKUP($D12,'2.2 KT-THUONG'!$C:$R,'2.2 KT-THUONG'!P$5,0)</f>
        <v>0</v>
      </c>
      <c r="BL12" s="138">
        <f>VLOOKUP($D12,'2.2 KT-THUONG'!$C:$R,'2.2 KT-THUONG'!Q$5,0)</f>
        <v>50000000</v>
      </c>
      <c r="BM12" s="138">
        <f>VLOOKUP($D12,'2.2 KT-THUONG'!$C:$R,'2.2 KT-THUONG'!R$5,0)</f>
        <v>0</v>
      </c>
      <c r="BN12" s="138"/>
      <c r="BO12" s="139">
        <f t="shared" si="24"/>
        <v>116275901.23456791</v>
      </c>
      <c r="BP12" s="260">
        <f t="shared" si="25"/>
        <v>600000</v>
      </c>
      <c r="BQ12" s="300">
        <f t="shared" si="26"/>
        <v>20.5</v>
      </c>
      <c r="BR12" s="301">
        <v>22.5</v>
      </c>
      <c r="BS12" s="260">
        <f t="shared" si="27"/>
        <v>546666.66666666674</v>
      </c>
      <c r="BT12" s="260">
        <f t="shared" si="28"/>
        <v>50000000</v>
      </c>
      <c r="BU12" s="260">
        <f t="shared" si="29"/>
        <v>0</v>
      </c>
      <c r="BV12" s="302">
        <f t="shared" si="30"/>
        <v>0</v>
      </c>
      <c r="BW12" s="260">
        <f>VLOOKUP(D12,'2.3 KT-GIAM TRU'!C:U,17,0)</f>
        <v>0</v>
      </c>
      <c r="BX12" s="260">
        <f t="shared" si="31"/>
        <v>480000</v>
      </c>
      <c r="BY12" s="260">
        <f t="shared" si="2"/>
        <v>90000</v>
      </c>
      <c r="BZ12" s="260">
        <f t="shared" si="3"/>
        <v>60000</v>
      </c>
      <c r="CA12" s="260"/>
      <c r="CB12" s="260">
        <f t="shared" si="32"/>
        <v>9000000</v>
      </c>
      <c r="CC12" s="301">
        <f>VLOOKUP(D12,'2.3 KT-GIAM TRU'!C:V,20,0)</f>
        <v>0</v>
      </c>
      <c r="CD12" s="260">
        <f t="shared" si="33"/>
        <v>0</v>
      </c>
      <c r="CE12" s="302">
        <f t="shared" si="34"/>
        <v>9000000</v>
      </c>
      <c r="CF12" s="302">
        <f t="shared" si="35"/>
        <v>56099234.567901246</v>
      </c>
      <c r="CG12" s="302">
        <f>IF(CF12&gt;'2.1 KT-Update ty le'!$A$16,CF12*'2.1 KT-Update ty le'!$B$17-'2.1 KT-Update ty le'!$E$17,IF(CF12&gt;'2.1 KT-Update ty le'!$A$15, CF12*'2.1 KT-Update ty le'!$B$16-'2.1 KT-Update ty le'!$E$16,IF(CF12&gt;'2.1 KT-Update ty le'!$A$14, CF12*'2.1 KT-Update ty le'!$B$15-'2.1 KT-Update ty le'!$E$15,IF(CF12&gt;'2.1 KT-Update ty le'!$A$13, CF12*'2.1 KT-Update ty le'!$B$14-'2.1 KT-Update ty le'!$E$14,IF(CF12&gt;'2.1 KT-Update ty le'!$A$12, CF12*'2.1 KT-Update ty le'!$B$13-'2.1 KT-Update ty le'!$E$13,IF(CF12&gt;'2.1 KT-Update ty le'!$A$11, CF12*'2.1 KT-Update ty le'!$B$12-'2.1 KT-Update ty le'!$E$12,IF(CF12&gt;0, CF12*'2.1 KT-Update ty le'!$B$11,0)))))))</f>
        <v>10979770.370370373</v>
      </c>
      <c r="CH12" s="260">
        <f>VLOOKUP(D12,'2.3 KT-GIAM TRU'!C:V,18,0)</f>
        <v>0</v>
      </c>
      <c r="CI12" s="260">
        <f>VLOOKUP(D12,'2.3 KT-GIAM TRU'!C:V,19,0)</f>
        <v>0</v>
      </c>
      <c r="CJ12" s="138">
        <f t="shared" si="4"/>
        <v>10979770.370370373</v>
      </c>
      <c r="CK12" s="297">
        <f>VLOOKUP($D12,'1.2 HR-Data luong'!$B:$V,'1.2 HR-Data luong'!S$5,0)</f>
        <v>5000000</v>
      </c>
      <c r="CL12" s="297">
        <f>VLOOKUP($D12,'1.2 HR-Data luong'!$B:$V,'1.2 HR-Data luong'!T$5,0)</f>
        <v>6000000</v>
      </c>
      <c r="CM12" s="303">
        <f>VLOOKUP($D12,'1.2 HR-Data luong'!$B:$V,'1.2 HR-Data luong'!U$5,0)</f>
        <v>42917</v>
      </c>
      <c r="CN12" s="304" t="str">
        <f>VLOOKUP($D12,'1.2 HR-Data luong'!$B:$V,'1.2 HR-Data luong'!V$5,0)</f>
        <v>Tăng lương do tăng cấp</v>
      </c>
      <c r="CO12" s="260">
        <f t="shared" si="36"/>
        <v>6000000</v>
      </c>
      <c r="CP12" s="260">
        <f t="shared" si="5"/>
        <v>1050000</v>
      </c>
      <c r="CQ12" s="260">
        <f t="shared" si="5"/>
        <v>180000</v>
      </c>
      <c r="CR12" s="260">
        <f t="shared" si="5"/>
        <v>60000</v>
      </c>
      <c r="CS12" s="260">
        <f t="shared" si="5"/>
        <v>120000</v>
      </c>
      <c r="CT12" s="260">
        <f t="shared" si="5"/>
        <v>480000</v>
      </c>
      <c r="CU12" s="260">
        <f t="shared" si="5"/>
        <v>90000</v>
      </c>
      <c r="CV12" s="260">
        <f t="shared" si="5"/>
        <v>60000</v>
      </c>
      <c r="CW12" s="260">
        <f t="shared" si="5"/>
        <v>630000</v>
      </c>
      <c r="CX12" s="260">
        <f t="shared" si="5"/>
        <v>60000</v>
      </c>
      <c r="CY12" s="260">
        <f t="shared" si="5"/>
        <v>1530000</v>
      </c>
      <c r="CZ12" s="260">
        <f t="shared" si="5"/>
        <v>270000</v>
      </c>
      <c r="DA12" s="260">
        <f t="shared" si="5"/>
        <v>120000</v>
      </c>
      <c r="DB12" s="260">
        <f t="shared" si="5"/>
        <v>180000</v>
      </c>
      <c r="DC12" s="138">
        <f t="shared" si="37"/>
        <v>630000</v>
      </c>
      <c r="DD12" s="138">
        <f t="shared" si="38"/>
        <v>60000</v>
      </c>
      <c r="DE12" s="138">
        <f>VLOOKUP($D12,'1.2 HR-Data luong'!$B:$BE,'1.2 HR-Data luong'!BE$5,0)</f>
        <v>0</v>
      </c>
      <c r="DF12" s="138">
        <f>VLOOKUP($D12,'1.2 HR-Data luong'!$B:$BE,'1.2 HR-Data luong'!AM$5,0)</f>
        <v>0</v>
      </c>
      <c r="DG12" s="138">
        <f>VLOOKUP($D12,'1.2 HR-Data luong'!$B:$BE,'1.2 HR-Data luong'!AN$5,0)</f>
        <v>0</v>
      </c>
      <c r="DH12" s="138">
        <f>VLOOKUP(D12,'2.3 KT-GIAM TRU'!C:S,16,0)</f>
        <v>0</v>
      </c>
      <c r="DI12" s="138">
        <f>VLOOKUP(D12,'2.3 KT-GIAM TRU'!C:S,15,0)</f>
        <v>0</v>
      </c>
      <c r="DJ12" s="139">
        <f t="shared" si="39"/>
        <v>104606130.86419754</v>
      </c>
      <c r="DK12" s="142" t="str">
        <f t="shared" si="42"/>
        <v>X</v>
      </c>
      <c r="DL12" s="138">
        <f t="shared" si="40"/>
        <v>104606130.86419754</v>
      </c>
      <c r="DM12" s="139" t="s">
        <v>352</v>
      </c>
      <c r="DN12" s="138"/>
      <c r="DO12" s="138"/>
      <c r="DP12" s="139"/>
      <c r="DQ12" s="138"/>
      <c r="DR12" s="138"/>
      <c r="DS12" s="139"/>
      <c r="DT12" s="138"/>
      <c r="DU12" s="138"/>
      <c r="DV12" s="139"/>
      <c r="DW12" s="138"/>
      <c r="DX12" s="138"/>
      <c r="DY12" s="139">
        <f t="shared" si="41"/>
        <v>0</v>
      </c>
      <c r="DZ12" s="138"/>
      <c r="EA12" s="138"/>
      <c r="EB12" s="138" t="str">
        <f>VLOOKUP(D12,'1.1 HR-Ho so nhan su'!B:AR,39,0)</f>
        <v>2. TPB</v>
      </c>
      <c r="EC12" s="138" t="str">
        <f>VLOOKUP(D12,'1.1 HR-Ho so nhan su'!B:AR,40,0)</f>
        <v>TPB005</v>
      </c>
      <c r="ED12" s="138" t="str">
        <f>VLOOKUP(D12,'1.1 HR-Ho so nhan su'!B:AR,41,0)</f>
        <v>Nguyễn Văn E</v>
      </c>
      <c r="EE12" s="138" t="str">
        <f>VLOOKUP(D12,'1.1 HR-Ho so nhan su'!B:AR,42,0)</f>
        <v>KHB</v>
      </c>
      <c r="EF12" s="138" t="str">
        <f>VLOOKUP(D12,'1.1 HR-Ho so nhan su'!B:AR,43,0)</f>
        <v>HN</v>
      </c>
      <c r="EG12" s="138">
        <f>VLOOKUP(D12,'1.1 HR-Ho so nhan su'!B:AS,44,0)</f>
        <v>0</v>
      </c>
    </row>
    <row r="13" spans="1:137" x14ac:dyDescent="0.25">
      <c r="A13" s="136">
        <v>2017.07</v>
      </c>
      <c r="B13" s="136">
        <v>6</v>
      </c>
      <c r="C13" s="136" t="s">
        <v>302</v>
      </c>
      <c r="D13" s="136" t="str">
        <f>VLOOKUP($B13,'1.2 HR-Data luong'!$A:$AD,'1.2 HR-Data luong'!B$5+1,0)</f>
        <v>ADS06</v>
      </c>
      <c r="E13" s="136" t="str">
        <f>VLOOKUP($B13,'1.2 HR-Data luong'!$A:$AD,'1.2 HR-Data luong'!C$5+1,0)</f>
        <v>BD03 SG</v>
      </c>
      <c r="F13" s="136" t="str">
        <f>VLOOKUP($B13,'1.2 HR-Data luong'!$A:$AD,'1.2 HR-Data luong'!D$5+1,0)</f>
        <v>NguyenVanF</v>
      </c>
      <c r="G13" s="136" t="str">
        <f>VLOOKUP($B13,'1.2 HR-Data luong'!$A:$AD,'1.2 HR-Data luong'!E$5+1,0)</f>
        <v>Nguyễn Văn F</v>
      </c>
      <c r="H13" s="136" t="str">
        <f>VLOOKUP($B13,'1.2 HR-Data luong'!$A:$AD,'1.2 HR-Data luong'!F$5+1,0)</f>
        <v>HCM</v>
      </c>
      <c r="I13" s="136" t="str">
        <f>VLOOKUP($B13,'1.2 HR-Data luong'!$A:$AD,'1.2 HR-Data luong'!G$5+1,0)</f>
        <v>Trưởng phòng</v>
      </c>
      <c r="J13" s="136" t="str">
        <f>VLOOKUP($B13,'1.2 HR-Data luong'!$A:$AD,'1.2 HR-Data luong'!H$5+1,0)</f>
        <v>TP C3</v>
      </c>
      <c r="K13" s="136" t="str">
        <f>VLOOKUP($B13,'1.2 HR-Data luong'!$A:$AD,'1.2 HR-Data luong'!I$5+1,0)</f>
        <v>CT</v>
      </c>
      <c r="L13" s="136" t="str">
        <f>VLOOKUP($B13,'1.2 HR-Data luong'!$A:$AD,'1.2 HR-Data luong'!J$5+1,0)</f>
        <v>fnv@novaon.vn</v>
      </c>
      <c r="M13" s="136" t="str">
        <f>VLOOKUP($B13,'1.2 HR-Data luong'!$A:$AD,'1.2 HR-Data luong'!K$5+1,0)</f>
        <v>bom@novaon.vn</v>
      </c>
      <c r="N13" s="137" t="str">
        <f>VLOOKUP($D13,'1.2 HR-Data luong'!$B:$BG,'1.2 HR-Data luong'!BF$5,0)</f>
        <v>ON</v>
      </c>
      <c r="O13" s="142">
        <f>VLOOKUP($D13,'1.2 HR-Data luong'!$B:$BG,'1.2 HR-Data luong'!L$5,0)</f>
        <v>6000000</v>
      </c>
      <c r="P13" s="142">
        <f>VLOOKUP($D13,'1.2 HR-Data luong'!$B:$BG,'1.2 HR-Data luong'!M$5,0)</f>
        <v>0</v>
      </c>
      <c r="Q13" s="294">
        <f>VLOOKUP($D13,'1.2 HR-Data luong'!$B:$BG,'1.2 HR-Data luong'!N$5,0)</f>
        <v>0</v>
      </c>
      <c r="R13" s="136">
        <f>VLOOKUP($D13,'1.2 HR-Data luong'!$B:$BG,'1.2 HR-Data luong'!O$5,0)</f>
        <v>0</v>
      </c>
      <c r="S13" s="295">
        <f>VLOOKUP($D13,'1.2 HR-Data luong'!$B:$BG,'1.2 HR-Data luong'!P$5,0)</f>
        <v>22.5</v>
      </c>
      <c r="T13" s="295">
        <f>VLOOKUP($D13,'1.2 HR-Data luong'!$B:$BG,'1.2 HR-Data luong'!Q$5,0)</f>
        <v>0</v>
      </c>
      <c r="U13" s="295">
        <f>VLOOKUP($D13,'1.2 HR-Data luong'!$B:$BG,'1.2 HR-Data luong'!R$5,0)</f>
        <v>22.5</v>
      </c>
      <c r="V13" s="296">
        <f>VLOOKUP($D13,'1.2 HR-Data luong'!$B:$BG,'1.2 HR-Data luong'!W$5,0)</f>
        <v>0.06</v>
      </c>
      <c r="W13" s="296">
        <f>VLOOKUP($D13,'1.2 HR-Data luong'!$B:$BG,'1.2 HR-Data luong'!X$5,0)</f>
        <v>0</v>
      </c>
      <c r="X13" s="294">
        <f>VLOOKUP($D13,'1.2 HR-Data luong'!$B:$BG,'1.2 HR-Data luong'!Y$5,0)</f>
        <v>0</v>
      </c>
      <c r="Y13" s="295">
        <f>VLOOKUP($D13,'1.2 HR-Data luong'!$B:$BG,'1.2 HR-Data luong'!Z$5,0)</f>
        <v>0</v>
      </c>
      <c r="Z13" s="295">
        <f>VLOOKUP($D13,'1.2 HR-Data luong'!$B:$BG,'1.2 HR-Data luong'!AA$5,0)</f>
        <v>22.5</v>
      </c>
      <c r="AA13" s="295">
        <f>VLOOKUP($D13,'1.2 HR-Data luong'!$B:$BG,'1.2 HR-Data luong'!AB$5,0)</f>
        <v>0</v>
      </c>
      <c r="AB13" s="295">
        <f>VLOOKUP($D13,'1.2 HR-Data luong'!$B:$BG,'1.2 HR-Data luong'!AC$5,0)</f>
        <v>22.5</v>
      </c>
      <c r="AC13" s="297">
        <f t="shared" si="6"/>
        <v>6000000</v>
      </c>
      <c r="AD13" s="298">
        <f t="shared" si="7"/>
        <v>0.06</v>
      </c>
      <c r="AE13" s="299">
        <f t="shared" si="8"/>
        <v>22.5</v>
      </c>
      <c r="AF13" s="297">
        <f t="shared" si="9"/>
        <v>6000000</v>
      </c>
      <c r="AG13" s="298">
        <f t="shared" si="10"/>
        <v>0.06</v>
      </c>
      <c r="AH13" s="299">
        <f t="shared" si="11"/>
        <v>0</v>
      </c>
      <c r="AI13" s="297">
        <f t="shared" si="12"/>
        <v>0</v>
      </c>
      <c r="AJ13" s="298">
        <f t="shared" si="13"/>
        <v>0.06</v>
      </c>
      <c r="AK13" s="299">
        <f t="shared" si="14"/>
        <v>0</v>
      </c>
      <c r="AL13" s="297">
        <f t="shared" si="15"/>
        <v>0</v>
      </c>
      <c r="AM13" s="298">
        <f t="shared" si="16"/>
        <v>0.06</v>
      </c>
      <c r="AN13" s="299">
        <f t="shared" si="17"/>
        <v>0</v>
      </c>
      <c r="AO13" s="260">
        <f t="shared" si="18"/>
        <v>360000</v>
      </c>
      <c r="AP13" s="138">
        <f t="shared" si="19"/>
        <v>6000000</v>
      </c>
      <c r="AQ13" s="138">
        <f>VLOOKUP(D13,'3.2 ERP-PC THAM NIEN'!C:AK,35,0)</f>
        <v>360000</v>
      </c>
      <c r="AR13" s="139">
        <f t="shared" si="20"/>
        <v>6360000</v>
      </c>
      <c r="AS13" s="138">
        <f>VLOOKUP(D13,'1.2 HR-Data luong'!B:AK,34,0)</f>
        <v>0</v>
      </c>
      <c r="AT13" s="260">
        <f>VLOOKUP($D13,'1.2 HR-Data luong'!$B:$BG,'1.2 HR-Data luong'!AD$5,0)</f>
        <v>200000</v>
      </c>
      <c r="AU13" s="264">
        <f>VLOOKUP($D13,'1.2 HR-Data luong'!$B:$BG,'1.2 HR-Data luong'!AE$5,0)</f>
        <v>22.5</v>
      </c>
      <c r="AV13" s="264">
        <f>VLOOKUP($D13,'1.2 HR-Data luong'!B:R,'1.2 HR-Data luong'!R$5,0)</f>
        <v>22.5</v>
      </c>
      <c r="AW13" s="138">
        <f t="shared" si="0"/>
        <v>200000</v>
      </c>
      <c r="AX13" s="260">
        <f>VLOOKUP($D13,'1.2 HR-Data luong'!$B:$BG,'1.2 HR-Data luong'!AF$5,0)</f>
        <v>200000</v>
      </c>
      <c r="AY13" s="264">
        <f>VLOOKUP($D13,'1.2 HR-Data luong'!$B:$BG,'1.2 HR-Data luong'!AG$5,0)</f>
        <v>22.5</v>
      </c>
      <c r="AZ13" s="264">
        <f t="shared" si="21"/>
        <v>22.5</v>
      </c>
      <c r="BA13" s="138">
        <f t="shared" si="22"/>
        <v>200000</v>
      </c>
      <c r="BB13" s="260">
        <v>0</v>
      </c>
      <c r="BC13" s="140">
        <f>VLOOKUP(D13,'1.2 HR-Data luong'!B:R,17,0)</f>
        <v>22.5</v>
      </c>
      <c r="BD13" s="141">
        <f t="shared" si="1"/>
        <v>6360000</v>
      </c>
      <c r="BE13" s="139">
        <f t="shared" si="23"/>
        <v>400000</v>
      </c>
      <c r="BF13" s="138">
        <f>VLOOKUP($D13,'2.2 KT-THUONG'!$C:$R,'2.2 KT-THUONG'!K$5,0)</f>
        <v>300000</v>
      </c>
      <c r="BG13" s="138">
        <f>VLOOKUP($D13,'2.2 KT-THUONG'!$C:$R,'2.2 KT-THUONG'!L$5,0)</f>
        <v>6000000</v>
      </c>
      <c r="BH13" s="138">
        <f>VLOOKUP($D13,'2.2 KT-THUONG'!$C:$R,'2.2 KT-THUONG'!M$5,0)</f>
        <v>600000</v>
      </c>
      <c r="BI13" s="138">
        <f>VLOOKUP($D13,'2.2 KT-THUONG'!$C:$R,'2.2 KT-THUONG'!N$5,0)</f>
        <v>0</v>
      </c>
      <c r="BJ13" s="138">
        <f>VLOOKUP($D13,'2.2 KT-THUONG'!$C:$R,'2.2 KT-THUONG'!O$5,0)</f>
        <v>60000000</v>
      </c>
      <c r="BK13" s="138">
        <f>VLOOKUP($D13,'2.2 KT-THUONG'!$C:$R,'2.2 KT-THUONG'!P$5,0)</f>
        <v>0</v>
      </c>
      <c r="BL13" s="138">
        <f>VLOOKUP($D13,'2.2 KT-THUONG'!$C:$R,'2.2 KT-THUONG'!Q$5,0)</f>
        <v>50000000</v>
      </c>
      <c r="BM13" s="138">
        <f>VLOOKUP($D13,'2.2 KT-THUONG'!$C:$R,'2.2 KT-THUONG'!R$5,0)</f>
        <v>0</v>
      </c>
      <c r="BN13" s="138"/>
      <c r="BO13" s="139">
        <f t="shared" si="24"/>
        <v>123660000</v>
      </c>
      <c r="BP13" s="260">
        <f t="shared" si="25"/>
        <v>600000</v>
      </c>
      <c r="BQ13" s="300">
        <f t="shared" si="26"/>
        <v>22.5</v>
      </c>
      <c r="BR13" s="301">
        <v>22.5</v>
      </c>
      <c r="BS13" s="260">
        <f t="shared" si="27"/>
        <v>600000</v>
      </c>
      <c r="BT13" s="260">
        <f t="shared" si="28"/>
        <v>50000000</v>
      </c>
      <c r="BU13" s="260">
        <f t="shared" si="29"/>
        <v>0</v>
      </c>
      <c r="BV13" s="302">
        <f t="shared" si="30"/>
        <v>0</v>
      </c>
      <c r="BW13" s="260">
        <f>VLOOKUP(D13,'2.3 KT-GIAM TRU'!C:U,17,0)</f>
        <v>0</v>
      </c>
      <c r="BX13" s="260">
        <f t="shared" si="31"/>
        <v>480000</v>
      </c>
      <c r="BY13" s="260">
        <f t="shared" si="2"/>
        <v>90000</v>
      </c>
      <c r="BZ13" s="260">
        <f t="shared" si="3"/>
        <v>60000</v>
      </c>
      <c r="CA13" s="260"/>
      <c r="CB13" s="260">
        <f t="shared" si="32"/>
        <v>9000000</v>
      </c>
      <c r="CC13" s="301">
        <f>VLOOKUP(D13,'2.3 KT-GIAM TRU'!C:V,20,0)</f>
        <v>0</v>
      </c>
      <c r="CD13" s="260">
        <f t="shared" si="33"/>
        <v>0</v>
      </c>
      <c r="CE13" s="302">
        <f t="shared" si="34"/>
        <v>9000000</v>
      </c>
      <c r="CF13" s="302">
        <f t="shared" si="35"/>
        <v>63430000</v>
      </c>
      <c r="CG13" s="302">
        <f>IF(CF13&gt;'2.1 KT-Update ty le'!$A$16,CF13*'2.1 KT-Update ty le'!$B$17-'2.1 KT-Update ty le'!$E$17,IF(CF13&gt;'2.1 KT-Update ty le'!$A$15, CF13*'2.1 KT-Update ty le'!$B$16-'2.1 KT-Update ty le'!$E$16,IF(CF13&gt;'2.1 KT-Update ty le'!$A$14, CF13*'2.1 KT-Update ty le'!$B$15-'2.1 KT-Update ty le'!$E$15,IF(CF13&gt;'2.1 KT-Update ty le'!$A$13, CF13*'2.1 KT-Update ty le'!$B$14-'2.1 KT-Update ty le'!$E$14,IF(CF13&gt;'2.1 KT-Update ty le'!$A$12, CF13*'2.1 KT-Update ty le'!$B$13-'2.1 KT-Update ty le'!$E$13,IF(CF13&gt;'2.1 KT-Update ty le'!$A$11, CF13*'2.1 KT-Update ty le'!$B$12-'2.1 KT-Update ty le'!$E$12,IF(CF13&gt;0, CF13*'2.1 KT-Update ty le'!$B$11,0)))))))</f>
        <v>13179000</v>
      </c>
      <c r="CH13" s="260">
        <f>VLOOKUP(D13,'2.3 KT-GIAM TRU'!C:V,18,0)</f>
        <v>0</v>
      </c>
      <c r="CI13" s="260">
        <f>VLOOKUP(D13,'2.3 KT-GIAM TRU'!C:V,19,0)</f>
        <v>0</v>
      </c>
      <c r="CJ13" s="138">
        <f t="shared" si="4"/>
        <v>13179000</v>
      </c>
      <c r="CK13" s="297">
        <f>VLOOKUP($D13,'1.2 HR-Data luong'!$B:$V,'1.2 HR-Data luong'!S$5,0)</f>
        <v>6000000</v>
      </c>
      <c r="CL13" s="297">
        <f>VLOOKUP($D13,'1.2 HR-Data luong'!$B:$V,'1.2 HR-Data luong'!T$5,0)</f>
        <v>0</v>
      </c>
      <c r="CM13" s="303">
        <f>VLOOKUP($D13,'1.2 HR-Data luong'!$B:$V,'1.2 HR-Data luong'!U$5,0)</f>
        <v>0</v>
      </c>
      <c r="CN13" s="304">
        <f>VLOOKUP($D13,'1.2 HR-Data luong'!$B:$V,'1.2 HR-Data luong'!V$5,0)</f>
        <v>0</v>
      </c>
      <c r="CO13" s="260">
        <f t="shared" si="36"/>
        <v>6000000</v>
      </c>
      <c r="CP13" s="260">
        <f t="shared" si="5"/>
        <v>1050000</v>
      </c>
      <c r="CQ13" s="260">
        <f t="shared" si="5"/>
        <v>180000</v>
      </c>
      <c r="CR13" s="260">
        <f t="shared" si="5"/>
        <v>60000</v>
      </c>
      <c r="CS13" s="260">
        <f t="shared" si="5"/>
        <v>120000</v>
      </c>
      <c r="CT13" s="260">
        <f t="shared" si="5"/>
        <v>480000</v>
      </c>
      <c r="CU13" s="260">
        <f t="shared" si="5"/>
        <v>90000</v>
      </c>
      <c r="CV13" s="260">
        <f t="shared" si="5"/>
        <v>60000</v>
      </c>
      <c r="CW13" s="260">
        <f t="shared" si="5"/>
        <v>630000</v>
      </c>
      <c r="CX13" s="260">
        <f t="shared" si="5"/>
        <v>60000</v>
      </c>
      <c r="CY13" s="260">
        <f t="shared" si="5"/>
        <v>1530000</v>
      </c>
      <c r="CZ13" s="260">
        <f t="shared" si="5"/>
        <v>270000</v>
      </c>
      <c r="DA13" s="260">
        <f t="shared" si="5"/>
        <v>120000</v>
      </c>
      <c r="DB13" s="260">
        <f t="shared" si="5"/>
        <v>180000</v>
      </c>
      <c r="DC13" s="138">
        <f t="shared" si="37"/>
        <v>630000</v>
      </c>
      <c r="DD13" s="138">
        <f t="shared" si="38"/>
        <v>60000</v>
      </c>
      <c r="DE13" s="138">
        <f>VLOOKUP($D13,'1.2 HR-Data luong'!$B:$BE,'1.2 HR-Data luong'!BE$5,0)</f>
        <v>0</v>
      </c>
      <c r="DF13" s="138">
        <f>VLOOKUP($D13,'1.2 HR-Data luong'!$B:$BE,'1.2 HR-Data luong'!AM$5,0)</f>
        <v>0</v>
      </c>
      <c r="DG13" s="138">
        <f>VLOOKUP($D13,'1.2 HR-Data luong'!$B:$BE,'1.2 HR-Data luong'!AN$5,0)</f>
        <v>0</v>
      </c>
      <c r="DH13" s="138">
        <f>VLOOKUP(D13,'2.3 KT-GIAM TRU'!C:S,16,0)</f>
        <v>0</v>
      </c>
      <c r="DI13" s="138">
        <f>VLOOKUP(D13,'2.3 KT-GIAM TRU'!C:S,15,0)</f>
        <v>0</v>
      </c>
      <c r="DJ13" s="139">
        <f t="shared" si="39"/>
        <v>109791000</v>
      </c>
      <c r="DK13" s="142" t="str">
        <f t="shared" si="42"/>
        <v>X</v>
      </c>
      <c r="DL13" s="138">
        <f t="shared" si="40"/>
        <v>109791000</v>
      </c>
      <c r="DM13" s="139" t="s">
        <v>352</v>
      </c>
      <c r="DN13" s="138"/>
      <c r="DO13" s="138"/>
      <c r="DP13" s="139"/>
      <c r="DQ13" s="138"/>
      <c r="DR13" s="138"/>
      <c r="DS13" s="139"/>
      <c r="DT13" s="138"/>
      <c r="DU13" s="138"/>
      <c r="DV13" s="139"/>
      <c r="DW13" s="138"/>
      <c r="DX13" s="138"/>
      <c r="DY13" s="139">
        <f t="shared" si="41"/>
        <v>0</v>
      </c>
      <c r="DZ13" s="138"/>
      <c r="EA13" s="138"/>
      <c r="EB13" s="138" t="str">
        <f>VLOOKUP(D13,'1.1 HR-Ho so nhan su'!B:AR,39,0)</f>
        <v>2. TPB</v>
      </c>
      <c r="EC13" s="138" t="str">
        <f>VLOOKUP(D13,'1.1 HR-Ho so nhan su'!B:AR,40,0)</f>
        <v>TPB006</v>
      </c>
      <c r="ED13" s="138" t="str">
        <f>VLOOKUP(D13,'1.1 HR-Ho so nhan su'!B:AR,41,0)</f>
        <v>Nguyễn Văn F</v>
      </c>
      <c r="EE13" s="138" t="str">
        <f>VLOOKUP(D13,'1.1 HR-Ho so nhan su'!B:AR,42,0)</f>
        <v>KHB</v>
      </c>
      <c r="EF13" s="138" t="str">
        <f>VLOOKUP(D13,'1.1 HR-Ho so nhan su'!B:AR,43,0)</f>
        <v>HN</v>
      </c>
      <c r="EG13" s="138">
        <f>VLOOKUP(D13,'1.1 HR-Ho so nhan su'!B:AS,44,0)</f>
        <v>0</v>
      </c>
    </row>
    <row r="14" spans="1:137" x14ac:dyDescent="0.25">
      <c r="A14" s="136">
        <v>2017.07</v>
      </c>
      <c r="B14" s="136">
        <v>7</v>
      </c>
      <c r="C14" s="136" t="s">
        <v>302</v>
      </c>
      <c r="D14" s="136" t="str">
        <f>VLOOKUP($B14,'1.2 HR-Data luong'!$A:$AD,'1.2 HR-Data luong'!B$5+1,0)</f>
        <v>ADS07</v>
      </c>
      <c r="E14" s="136" t="str">
        <f>VLOOKUP($B14,'1.2 HR-Data luong'!$A:$AD,'1.2 HR-Data luong'!C$5+1,0)</f>
        <v>BD03 SG</v>
      </c>
      <c r="F14" s="136" t="str">
        <f>VLOOKUP($B14,'1.2 HR-Data luong'!$A:$AD,'1.2 HR-Data luong'!D$5+1,0)</f>
        <v>NguyenVanG</v>
      </c>
      <c r="G14" s="136" t="str">
        <f>VLOOKUP($B14,'1.2 HR-Data luong'!$A:$AD,'1.2 HR-Data luong'!E$5+1,0)</f>
        <v>Nguyễn Văn G</v>
      </c>
      <c r="H14" s="136" t="str">
        <f>VLOOKUP($B14,'1.2 HR-Data luong'!$A:$AD,'1.2 HR-Data luong'!F$5+1,0)</f>
        <v>HCM</v>
      </c>
      <c r="I14" s="136" t="str">
        <f>VLOOKUP($B14,'1.2 HR-Data luong'!$A:$AD,'1.2 HR-Data luong'!G$5+1,0)</f>
        <v>Nhân viên</v>
      </c>
      <c r="J14" s="136" t="str">
        <f>VLOOKUP($B14,'1.2 HR-Data luong'!$A:$AD,'1.2 HR-Data luong'!H$5+1,0)</f>
        <v>C4</v>
      </c>
      <c r="K14" s="136" t="str">
        <f>VLOOKUP($B14,'1.2 HR-Data luong'!$A:$AD,'1.2 HR-Data luong'!I$5+1,0)</f>
        <v>CT</v>
      </c>
      <c r="L14" s="136" t="str">
        <f>VLOOKUP($B14,'1.2 HR-Data luong'!$A:$AD,'1.2 HR-Data luong'!J$5+1,0)</f>
        <v>gnv@novaon.vn</v>
      </c>
      <c r="M14" s="136" t="str">
        <f>VLOOKUP($B14,'1.2 HR-Data luong'!$A:$AD,'1.2 HR-Data luong'!K$5+1,0)</f>
        <v>fnv@novaon.vn</v>
      </c>
      <c r="N14" s="137" t="str">
        <f>VLOOKUP($D14,'1.2 HR-Data luong'!$B:$BG,'1.2 HR-Data luong'!BF$5,0)</f>
        <v>ON</v>
      </c>
      <c r="O14" s="142">
        <f>VLOOKUP($D14,'1.2 HR-Data luong'!$B:$BG,'1.2 HR-Data luong'!L$5,0)</f>
        <v>7000000</v>
      </c>
      <c r="P14" s="142">
        <f>VLOOKUP($D14,'1.2 HR-Data luong'!$B:$BG,'1.2 HR-Data luong'!M$5,0)</f>
        <v>0</v>
      </c>
      <c r="Q14" s="294">
        <f>VLOOKUP($D14,'1.2 HR-Data luong'!$B:$BG,'1.2 HR-Data luong'!N$5,0)</f>
        <v>0</v>
      </c>
      <c r="R14" s="136">
        <f>VLOOKUP($D14,'1.2 HR-Data luong'!$B:$BG,'1.2 HR-Data luong'!O$5,0)</f>
        <v>0</v>
      </c>
      <c r="S14" s="295">
        <f>VLOOKUP($D14,'1.2 HR-Data luong'!$B:$BG,'1.2 HR-Data luong'!P$5,0)</f>
        <v>22.5</v>
      </c>
      <c r="T14" s="295">
        <f>VLOOKUP($D14,'1.2 HR-Data luong'!$B:$BG,'1.2 HR-Data luong'!Q$5,0)</f>
        <v>0</v>
      </c>
      <c r="U14" s="295">
        <f>VLOOKUP($D14,'1.2 HR-Data luong'!$B:$BG,'1.2 HR-Data luong'!R$5,0)</f>
        <v>22.5</v>
      </c>
      <c r="V14" s="296">
        <f>VLOOKUP($D14,'1.2 HR-Data luong'!$B:$BG,'1.2 HR-Data luong'!W$5,0)</f>
        <v>7.0000000000000007E-2</v>
      </c>
      <c r="W14" s="296">
        <f>VLOOKUP($D14,'1.2 HR-Data luong'!$B:$BG,'1.2 HR-Data luong'!X$5,0)</f>
        <v>0</v>
      </c>
      <c r="X14" s="294">
        <f>VLOOKUP($D14,'1.2 HR-Data luong'!$B:$BG,'1.2 HR-Data luong'!Y$5,0)</f>
        <v>0</v>
      </c>
      <c r="Y14" s="295">
        <f>VLOOKUP($D14,'1.2 HR-Data luong'!$B:$BG,'1.2 HR-Data luong'!Z$5,0)</f>
        <v>0</v>
      </c>
      <c r="Z14" s="295">
        <f>VLOOKUP($D14,'1.2 HR-Data luong'!$B:$BG,'1.2 HR-Data luong'!AA$5,0)</f>
        <v>22.5</v>
      </c>
      <c r="AA14" s="295">
        <f>VLOOKUP($D14,'1.2 HR-Data luong'!$B:$BG,'1.2 HR-Data luong'!AB$5,0)</f>
        <v>0</v>
      </c>
      <c r="AB14" s="295">
        <f>VLOOKUP($D14,'1.2 HR-Data luong'!$B:$BG,'1.2 HR-Data luong'!AC$5,0)</f>
        <v>22.5</v>
      </c>
      <c r="AC14" s="297">
        <f t="shared" si="6"/>
        <v>7000000</v>
      </c>
      <c r="AD14" s="298">
        <f t="shared" si="7"/>
        <v>7.0000000000000007E-2</v>
      </c>
      <c r="AE14" s="299">
        <f t="shared" si="8"/>
        <v>22.5</v>
      </c>
      <c r="AF14" s="297">
        <f t="shared" si="9"/>
        <v>7000000</v>
      </c>
      <c r="AG14" s="298">
        <f t="shared" si="10"/>
        <v>7.0000000000000007E-2</v>
      </c>
      <c r="AH14" s="299">
        <f t="shared" si="11"/>
        <v>0</v>
      </c>
      <c r="AI14" s="297">
        <f t="shared" si="12"/>
        <v>0</v>
      </c>
      <c r="AJ14" s="298">
        <f t="shared" si="13"/>
        <v>7.0000000000000007E-2</v>
      </c>
      <c r="AK14" s="299">
        <f t="shared" si="14"/>
        <v>0</v>
      </c>
      <c r="AL14" s="297">
        <f t="shared" si="15"/>
        <v>0</v>
      </c>
      <c r="AM14" s="298">
        <f t="shared" si="16"/>
        <v>7.0000000000000007E-2</v>
      </c>
      <c r="AN14" s="299">
        <f t="shared" si="17"/>
        <v>0</v>
      </c>
      <c r="AO14" s="260">
        <f t="shared" si="18"/>
        <v>490000.00000000006</v>
      </c>
      <c r="AP14" s="138">
        <f t="shared" si="19"/>
        <v>7000000</v>
      </c>
      <c r="AQ14" s="138">
        <f>VLOOKUP(D14,'3.2 ERP-PC THAM NIEN'!C:AK,35,0)</f>
        <v>490000.00000000006</v>
      </c>
      <c r="AR14" s="139">
        <f t="shared" si="20"/>
        <v>7490000</v>
      </c>
      <c r="AS14" s="138">
        <f>VLOOKUP(D14,'1.2 HR-Data luong'!B:AK,34,0)</f>
        <v>0</v>
      </c>
      <c r="AT14" s="260">
        <f>VLOOKUP($D14,'1.2 HR-Data luong'!$B:$BG,'1.2 HR-Data luong'!AD$5,0)</f>
        <v>200000</v>
      </c>
      <c r="AU14" s="264">
        <f>VLOOKUP($D14,'1.2 HR-Data luong'!$B:$BG,'1.2 HR-Data luong'!AE$5,0)</f>
        <v>22.5</v>
      </c>
      <c r="AV14" s="264">
        <f>VLOOKUP($D14,'1.2 HR-Data luong'!B:R,'1.2 HR-Data luong'!R$5,0)</f>
        <v>22.5</v>
      </c>
      <c r="AW14" s="138">
        <f t="shared" si="0"/>
        <v>200000</v>
      </c>
      <c r="AX14" s="260">
        <f>VLOOKUP($D14,'1.2 HR-Data luong'!$B:$BG,'1.2 HR-Data luong'!AF$5,0)</f>
        <v>200000</v>
      </c>
      <c r="AY14" s="264">
        <f>VLOOKUP($D14,'1.2 HR-Data luong'!$B:$BG,'1.2 HR-Data luong'!AG$5,0)</f>
        <v>22.5</v>
      </c>
      <c r="AZ14" s="264">
        <f t="shared" si="21"/>
        <v>22.5</v>
      </c>
      <c r="BA14" s="138">
        <f t="shared" si="22"/>
        <v>200000</v>
      </c>
      <c r="BB14" s="260">
        <v>0</v>
      </c>
      <c r="BC14" s="140">
        <f>VLOOKUP(D14,'1.2 HR-Data luong'!B:R,17,0)</f>
        <v>22.5</v>
      </c>
      <c r="BD14" s="141">
        <f t="shared" si="1"/>
        <v>7490000</v>
      </c>
      <c r="BE14" s="139">
        <f t="shared" si="23"/>
        <v>400000</v>
      </c>
      <c r="BF14" s="138">
        <f>VLOOKUP($D14,'2.2 KT-THUONG'!$C:$R,'2.2 KT-THUONG'!K$5,0)</f>
        <v>300000</v>
      </c>
      <c r="BG14" s="138">
        <f>VLOOKUP($D14,'2.2 KT-THUONG'!$C:$R,'2.2 KT-THUONG'!L$5,0)</f>
        <v>7000000</v>
      </c>
      <c r="BH14" s="138">
        <f>VLOOKUP($D14,'2.2 KT-THUONG'!$C:$R,'2.2 KT-THUONG'!M$5,0)</f>
        <v>700000</v>
      </c>
      <c r="BI14" s="138">
        <f>VLOOKUP($D14,'2.2 KT-THUONG'!$C:$R,'2.2 KT-THUONG'!N$5,0)</f>
        <v>0</v>
      </c>
      <c r="BJ14" s="138">
        <f>VLOOKUP($D14,'2.2 KT-THUONG'!$C:$R,'2.2 KT-THUONG'!O$5,0)</f>
        <v>70000000</v>
      </c>
      <c r="BK14" s="138">
        <f>VLOOKUP($D14,'2.2 KT-THUONG'!$C:$R,'2.2 KT-THUONG'!P$5,0)</f>
        <v>0</v>
      </c>
      <c r="BL14" s="138">
        <f>VLOOKUP($D14,'2.2 KT-THUONG'!$C:$R,'2.2 KT-THUONG'!Q$5,0)</f>
        <v>50000000</v>
      </c>
      <c r="BM14" s="138">
        <f>VLOOKUP($D14,'2.2 KT-THUONG'!$C:$R,'2.2 KT-THUONG'!R$5,0)</f>
        <v>0</v>
      </c>
      <c r="BN14" s="138"/>
      <c r="BO14" s="139">
        <f t="shared" si="24"/>
        <v>135890000</v>
      </c>
      <c r="BP14" s="260">
        <f t="shared" si="25"/>
        <v>600000</v>
      </c>
      <c r="BQ14" s="300">
        <f t="shared" si="26"/>
        <v>22.5</v>
      </c>
      <c r="BR14" s="301">
        <v>22.5</v>
      </c>
      <c r="BS14" s="260">
        <f t="shared" si="27"/>
        <v>600000</v>
      </c>
      <c r="BT14" s="260">
        <f t="shared" si="28"/>
        <v>50000000</v>
      </c>
      <c r="BU14" s="260">
        <f t="shared" si="29"/>
        <v>0</v>
      </c>
      <c r="BV14" s="302">
        <f t="shared" si="30"/>
        <v>0</v>
      </c>
      <c r="BW14" s="260">
        <f>VLOOKUP(D14,'2.3 KT-GIAM TRU'!C:U,17,0)</f>
        <v>0</v>
      </c>
      <c r="BX14" s="260">
        <f t="shared" si="31"/>
        <v>560000</v>
      </c>
      <c r="BY14" s="260">
        <f t="shared" si="2"/>
        <v>105000</v>
      </c>
      <c r="BZ14" s="260">
        <f t="shared" si="3"/>
        <v>70000</v>
      </c>
      <c r="CA14" s="260"/>
      <c r="CB14" s="260">
        <f t="shared" si="32"/>
        <v>9000000</v>
      </c>
      <c r="CC14" s="301">
        <f>VLOOKUP(D14,'2.3 KT-GIAM TRU'!C:V,20,0)</f>
        <v>0</v>
      </c>
      <c r="CD14" s="260">
        <f t="shared" si="33"/>
        <v>0</v>
      </c>
      <c r="CE14" s="302">
        <f t="shared" si="34"/>
        <v>9000000</v>
      </c>
      <c r="CF14" s="302">
        <f t="shared" si="35"/>
        <v>75555000</v>
      </c>
      <c r="CG14" s="302">
        <f>IF(CF14&gt;'2.1 KT-Update ty le'!$A$16,CF14*'2.1 KT-Update ty le'!$B$17-'2.1 KT-Update ty le'!$E$17,IF(CF14&gt;'2.1 KT-Update ty le'!$A$15, CF14*'2.1 KT-Update ty le'!$B$16-'2.1 KT-Update ty le'!$E$16,IF(CF14&gt;'2.1 KT-Update ty le'!$A$14, CF14*'2.1 KT-Update ty le'!$B$15-'2.1 KT-Update ty le'!$E$15,IF(CF14&gt;'2.1 KT-Update ty le'!$A$13, CF14*'2.1 KT-Update ty le'!$B$14-'2.1 KT-Update ty le'!$E$14,IF(CF14&gt;'2.1 KT-Update ty le'!$A$12, CF14*'2.1 KT-Update ty le'!$B$13-'2.1 KT-Update ty le'!$E$13,IF(CF14&gt;'2.1 KT-Update ty le'!$A$11, CF14*'2.1 KT-Update ty le'!$B$12-'2.1 KT-Update ty le'!$E$12,IF(CF14&gt;0, CF14*'2.1 KT-Update ty le'!$B$11,0)))))))</f>
        <v>16816500</v>
      </c>
      <c r="CH14" s="260">
        <f>VLOOKUP(D14,'2.3 KT-GIAM TRU'!C:V,18,0)</f>
        <v>0</v>
      </c>
      <c r="CI14" s="260">
        <f>VLOOKUP(D14,'2.3 KT-GIAM TRU'!C:V,19,0)</f>
        <v>0</v>
      </c>
      <c r="CJ14" s="138">
        <f t="shared" si="4"/>
        <v>16816500</v>
      </c>
      <c r="CK14" s="297">
        <f>VLOOKUP($D14,'1.2 HR-Data luong'!$B:$V,'1.2 HR-Data luong'!S$5,0)</f>
        <v>7000000</v>
      </c>
      <c r="CL14" s="297">
        <f>VLOOKUP($D14,'1.2 HR-Data luong'!$B:$V,'1.2 HR-Data luong'!T$5,0)</f>
        <v>0</v>
      </c>
      <c r="CM14" s="303">
        <f>VLOOKUP($D14,'1.2 HR-Data luong'!$B:$V,'1.2 HR-Data luong'!U$5,0)</f>
        <v>0</v>
      </c>
      <c r="CN14" s="304">
        <f>VLOOKUP($D14,'1.2 HR-Data luong'!$B:$V,'1.2 HR-Data luong'!V$5,0)</f>
        <v>0</v>
      </c>
      <c r="CO14" s="260">
        <f t="shared" si="36"/>
        <v>7000000</v>
      </c>
      <c r="CP14" s="260">
        <f t="shared" si="5"/>
        <v>1225000</v>
      </c>
      <c r="CQ14" s="260">
        <f t="shared" si="5"/>
        <v>210000</v>
      </c>
      <c r="CR14" s="260">
        <f t="shared" si="5"/>
        <v>70000</v>
      </c>
      <c r="CS14" s="260">
        <f t="shared" si="5"/>
        <v>140000</v>
      </c>
      <c r="CT14" s="260">
        <f t="shared" si="5"/>
        <v>560000</v>
      </c>
      <c r="CU14" s="260">
        <f t="shared" si="5"/>
        <v>105000</v>
      </c>
      <c r="CV14" s="260">
        <f t="shared" si="5"/>
        <v>70000</v>
      </c>
      <c r="CW14" s="260">
        <f t="shared" si="5"/>
        <v>735000</v>
      </c>
      <c r="CX14" s="260">
        <f t="shared" si="5"/>
        <v>70000</v>
      </c>
      <c r="CY14" s="260">
        <f t="shared" si="5"/>
        <v>1785000</v>
      </c>
      <c r="CZ14" s="260">
        <f t="shared" si="5"/>
        <v>315000</v>
      </c>
      <c r="DA14" s="260">
        <f t="shared" si="5"/>
        <v>140000</v>
      </c>
      <c r="DB14" s="260">
        <f t="shared" si="5"/>
        <v>210000</v>
      </c>
      <c r="DC14" s="138">
        <f t="shared" si="37"/>
        <v>735000</v>
      </c>
      <c r="DD14" s="138">
        <f t="shared" si="38"/>
        <v>70000</v>
      </c>
      <c r="DE14" s="138">
        <f>VLOOKUP($D14,'1.2 HR-Data luong'!$B:$BE,'1.2 HR-Data luong'!BE$5,0)</f>
        <v>0</v>
      </c>
      <c r="DF14" s="138">
        <f>VLOOKUP($D14,'1.2 HR-Data luong'!$B:$BE,'1.2 HR-Data luong'!AM$5,0)</f>
        <v>0</v>
      </c>
      <c r="DG14" s="138">
        <f>VLOOKUP($D14,'1.2 HR-Data luong'!$B:$BE,'1.2 HR-Data luong'!AN$5,0)</f>
        <v>0</v>
      </c>
      <c r="DH14" s="138">
        <f>VLOOKUP(D14,'2.3 KT-GIAM TRU'!C:S,16,0)</f>
        <v>0</v>
      </c>
      <c r="DI14" s="138">
        <f>VLOOKUP(D14,'2.3 KT-GIAM TRU'!C:S,15,0)</f>
        <v>0</v>
      </c>
      <c r="DJ14" s="139">
        <f t="shared" si="39"/>
        <v>118268500</v>
      </c>
      <c r="DK14" s="142" t="str">
        <f t="shared" si="42"/>
        <v>X</v>
      </c>
      <c r="DL14" s="138">
        <f t="shared" si="40"/>
        <v>118268500</v>
      </c>
      <c r="DM14" s="139" t="s">
        <v>352</v>
      </c>
      <c r="DN14" s="138"/>
      <c r="DO14" s="138"/>
      <c r="DP14" s="139"/>
      <c r="DQ14" s="138"/>
      <c r="DR14" s="138"/>
      <c r="DS14" s="139"/>
      <c r="DT14" s="138"/>
      <c r="DU14" s="138"/>
      <c r="DV14" s="139"/>
      <c r="DW14" s="138"/>
      <c r="DX14" s="138"/>
      <c r="DY14" s="139">
        <f t="shared" si="41"/>
        <v>0</v>
      </c>
      <c r="DZ14" s="138"/>
      <c r="EA14" s="138"/>
      <c r="EB14" s="138" t="str">
        <f>VLOOKUP(D14,'1.1 HR-Ho so nhan su'!B:AR,39,0)</f>
        <v>2. TPB</v>
      </c>
      <c r="EC14" s="138" t="str">
        <f>VLOOKUP(D14,'1.1 HR-Ho so nhan su'!B:AR,40,0)</f>
        <v>TPB007</v>
      </c>
      <c r="ED14" s="138" t="str">
        <f>VLOOKUP(D14,'1.1 HR-Ho so nhan su'!B:AR,41,0)</f>
        <v>Nguyễn Văn G</v>
      </c>
      <c r="EE14" s="138" t="str">
        <f>VLOOKUP(D14,'1.1 HR-Ho so nhan su'!B:AR,42,0)</f>
        <v>KHB</v>
      </c>
      <c r="EF14" s="138" t="str">
        <f>VLOOKUP(D14,'1.1 HR-Ho so nhan su'!B:AR,43,0)</f>
        <v>HN</v>
      </c>
      <c r="EG14" s="138">
        <f>VLOOKUP(D14,'1.1 HR-Ho so nhan su'!B:AS,44,0)</f>
        <v>0</v>
      </c>
    </row>
    <row r="15" spans="1:137" x14ac:dyDescent="0.25">
      <c r="A15" s="136">
        <v>2017.07</v>
      </c>
      <c r="B15" s="136">
        <v>8</v>
      </c>
      <c r="C15" s="136" t="s">
        <v>302</v>
      </c>
      <c r="D15" s="136" t="str">
        <f>VLOOKUP($B15,'1.2 HR-Data luong'!$A:$AD,'1.2 HR-Data luong'!B$5+1,0)</f>
        <v>ADS08</v>
      </c>
      <c r="E15" s="136" t="str">
        <f>VLOOKUP($B15,'1.2 HR-Data luong'!$A:$AD,'1.2 HR-Data luong'!C$5+1,0)</f>
        <v>BD03 SG</v>
      </c>
      <c r="F15" s="136" t="str">
        <f>VLOOKUP($B15,'1.2 HR-Data luong'!$A:$AD,'1.2 HR-Data luong'!D$5+1,0)</f>
        <v>NguyenVanH</v>
      </c>
      <c r="G15" s="136" t="str">
        <f>VLOOKUP($B15,'1.2 HR-Data luong'!$A:$AD,'1.2 HR-Data luong'!E$5+1,0)</f>
        <v>Nguyễn Văn H</v>
      </c>
      <c r="H15" s="136" t="str">
        <f>VLOOKUP($B15,'1.2 HR-Data luong'!$A:$AD,'1.2 HR-Data luong'!F$5+1,0)</f>
        <v>HCM</v>
      </c>
      <c r="I15" s="136" t="str">
        <f>VLOOKUP($B15,'1.2 HR-Data luong'!$A:$AD,'1.2 HR-Data luong'!G$5+1,0)</f>
        <v>Nhân viên</v>
      </c>
      <c r="J15" s="136" t="str">
        <f>VLOOKUP($B15,'1.2 HR-Data luong'!$A:$AD,'1.2 HR-Data luong'!H$5+1,0)</f>
        <v>S1</v>
      </c>
      <c r="K15" s="136" t="str">
        <f>VLOOKUP($B15,'1.2 HR-Data luong'!$A:$AD,'1.2 HR-Data luong'!I$5+1,0)</f>
        <v>CT</v>
      </c>
      <c r="L15" s="136" t="str">
        <f>VLOOKUP($B15,'1.2 HR-Data luong'!$A:$AD,'1.2 HR-Data luong'!J$5+1,0)</f>
        <v>hnv@novaon.vn</v>
      </c>
      <c r="M15" s="136" t="str">
        <f>VLOOKUP($B15,'1.2 HR-Data luong'!$A:$AD,'1.2 HR-Data luong'!K$5+1,0)</f>
        <v>fnv@novaon.vn</v>
      </c>
      <c r="N15" s="137" t="str">
        <f>VLOOKUP($D15,'1.2 HR-Data luong'!$B:$BG,'1.2 HR-Data luong'!BF$5,0)</f>
        <v>ON</v>
      </c>
      <c r="O15" s="142">
        <f>VLOOKUP($D15,'1.2 HR-Data luong'!$B:$BG,'1.2 HR-Data luong'!L$5,0)</f>
        <v>8000000</v>
      </c>
      <c r="P15" s="142">
        <f>VLOOKUP($D15,'1.2 HR-Data luong'!$B:$BG,'1.2 HR-Data luong'!M$5,0)</f>
        <v>10000000</v>
      </c>
      <c r="Q15" s="294">
        <f>VLOOKUP($D15,'1.2 HR-Data luong'!$B:$BG,'1.2 HR-Data luong'!N$5,0)</f>
        <v>42931</v>
      </c>
      <c r="R15" s="136" t="str">
        <f>VLOOKUP($D15,'1.2 HR-Data luong'!$B:$BG,'1.2 HR-Data luong'!O$5,0)</f>
        <v>Tăng lương do tăng cấp</v>
      </c>
      <c r="S15" s="295">
        <f>VLOOKUP($D15,'1.2 HR-Data luong'!$B:$BG,'1.2 HR-Data luong'!P$5,0)</f>
        <v>10</v>
      </c>
      <c r="T15" s="295">
        <f>VLOOKUP($D15,'1.2 HR-Data luong'!$B:$BG,'1.2 HR-Data luong'!Q$5,0)</f>
        <v>12.5</v>
      </c>
      <c r="U15" s="295">
        <f>VLOOKUP($D15,'1.2 HR-Data luong'!$B:$BG,'1.2 HR-Data luong'!R$5,0)</f>
        <v>22.5</v>
      </c>
      <c r="V15" s="296">
        <f>VLOOKUP($D15,'1.2 HR-Data luong'!$B:$BG,'1.2 HR-Data luong'!W$5,0)</f>
        <v>0.08</v>
      </c>
      <c r="W15" s="296">
        <f>VLOOKUP($D15,'1.2 HR-Data luong'!$B:$BG,'1.2 HR-Data luong'!X$5,0)</f>
        <v>0.09</v>
      </c>
      <c r="X15" s="294">
        <f>VLOOKUP($D15,'1.2 HR-Data luong'!$B:$BG,'1.2 HR-Data luong'!Y$5,0)</f>
        <v>42933</v>
      </c>
      <c r="Y15" s="295" t="str">
        <f>VLOOKUP($D15,'1.2 HR-Data luong'!$B:$BG,'1.2 HR-Data luong'!Z$5,0)</f>
        <v>Đủ 3 năm công tác</v>
      </c>
      <c r="Z15" s="295">
        <f>VLOOKUP($D15,'1.2 HR-Data luong'!$B:$BG,'1.2 HR-Data luong'!AA$5,0)</f>
        <v>12</v>
      </c>
      <c r="AA15" s="295">
        <f>VLOOKUP($D15,'1.2 HR-Data luong'!$B:$BG,'1.2 HR-Data luong'!AB$5,0)</f>
        <v>10.5</v>
      </c>
      <c r="AB15" s="295">
        <f>VLOOKUP($D15,'1.2 HR-Data luong'!$B:$BG,'1.2 HR-Data luong'!AC$5,0)</f>
        <v>22.5</v>
      </c>
      <c r="AC15" s="297">
        <f t="shared" si="6"/>
        <v>8000000</v>
      </c>
      <c r="AD15" s="298">
        <f t="shared" si="7"/>
        <v>0.08</v>
      </c>
      <c r="AE15" s="299">
        <f t="shared" si="8"/>
        <v>10</v>
      </c>
      <c r="AF15" s="297">
        <f t="shared" si="9"/>
        <v>8000000</v>
      </c>
      <c r="AG15" s="298">
        <f t="shared" si="10"/>
        <v>0.09</v>
      </c>
      <c r="AH15" s="299">
        <f t="shared" si="11"/>
        <v>0</v>
      </c>
      <c r="AI15" s="297">
        <f t="shared" si="12"/>
        <v>10000000</v>
      </c>
      <c r="AJ15" s="298">
        <f t="shared" si="13"/>
        <v>0.08</v>
      </c>
      <c r="AK15" s="299">
        <f t="shared" si="14"/>
        <v>2</v>
      </c>
      <c r="AL15" s="297">
        <f t="shared" si="15"/>
        <v>10000000</v>
      </c>
      <c r="AM15" s="298">
        <f t="shared" si="16"/>
        <v>0.09</v>
      </c>
      <c r="AN15" s="299">
        <f t="shared" si="17"/>
        <v>10.5</v>
      </c>
      <c r="AO15" s="260">
        <f t="shared" si="18"/>
        <v>775555.5555555555</v>
      </c>
      <c r="AP15" s="138">
        <f t="shared" si="19"/>
        <v>9111111.1111111119</v>
      </c>
      <c r="AQ15" s="138">
        <f>VLOOKUP(D15,'3.2 ERP-PC THAM NIEN'!C:AK,35,0)</f>
        <v>775555.5555555555</v>
      </c>
      <c r="AR15" s="139">
        <f t="shared" si="20"/>
        <v>9886666.6666666679</v>
      </c>
      <c r="AS15" s="138">
        <f>VLOOKUP(D15,'1.2 HR-Data luong'!B:AK,34,0)</f>
        <v>0</v>
      </c>
      <c r="AT15" s="260">
        <f>VLOOKUP($D15,'1.2 HR-Data luong'!$B:$BG,'1.2 HR-Data luong'!AD$5,0)</f>
        <v>200000</v>
      </c>
      <c r="AU15" s="264">
        <f>VLOOKUP($D15,'1.2 HR-Data luong'!$B:$BG,'1.2 HR-Data luong'!AE$5,0)</f>
        <v>22.5</v>
      </c>
      <c r="AV15" s="264">
        <f>VLOOKUP($D15,'1.2 HR-Data luong'!B:R,'1.2 HR-Data luong'!R$5,0)</f>
        <v>22.5</v>
      </c>
      <c r="AW15" s="138">
        <f t="shared" si="0"/>
        <v>200000</v>
      </c>
      <c r="AX15" s="260">
        <f>VLOOKUP($D15,'1.2 HR-Data luong'!$B:$BG,'1.2 HR-Data luong'!AF$5,0)</f>
        <v>200000</v>
      </c>
      <c r="AY15" s="264">
        <f>VLOOKUP($D15,'1.2 HR-Data luong'!$B:$BG,'1.2 HR-Data luong'!AG$5,0)</f>
        <v>22.5</v>
      </c>
      <c r="AZ15" s="264">
        <f t="shared" si="21"/>
        <v>22.5</v>
      </c>
      <c r="BA15" s="138">
        <f t="shared" si="22"/>
        <v>200000</v>
      </c>
      <c r="BB15" s="260">
        <v>0</v>
      </c>
      <c r="BC15" s="140">
        <f>VLOOKUP(D15,'1.2 HR-Data luong'!B:R,17,0)</f>
        <v>22.5</v>
      </c>
      <c r="BD15" s="141">
        <f t="shared" si="1"/>
        <v>9886666.6666666679</v>
      </c>
      <c r="BE15" s="139">
        <f t="shared" si="23"/>
        <v>400000</v>
      </c>
      <c r="BF15" s="138">
        <f>VLOOKUP($D15,'2.2 KT-THUONG'!$C:$R,'2.2 KT-THUONG'!K$5,0)</f>
        <v>300000</v>
      </c>
      <c r="BG15" s="138">
        <f>VLOOKUP($D15,'2.2 KT-THUONG'!$C:$R,'2.2 KT-THUONG'!L$5,0)</f>
        <v>8000000</v>
      </c>
      <c r="BH15" s="138">
        <f>VLOOKUP($D15,'2.2 KT-THUONG'!$C:$R,'2.2 KT-THUONG'!M$5,0)</f>
        <v>800000</v>
      </c>
      <c r="BI15" s="138">
        <f>VLOOKUP($D15,'2.2 KT-THUONG'!$C:$R,'2.2 KT-THUONG'!N$5,0)</f>
        <v>0</v>
      </c>
      <c r="BJ15" s="138">
        <f>VLOOKUP($D15,'2.2 KT-THUONG'!$C:$R,'2.2 KT-THUONG'!O$5,0)</f>
        <v>80000000</v>
      </c>
      <c r="BK15" s="138">
        <f>VLOOKUP($D15,'2.2 KT-THUONG'!$C:$R,'2.2 KT-THUONG'!P$5,0)</f>
        <v>0</v>
      </c>
      <c r="BL15" s="138">
        <f>VLOOKUP($D15,'2.2 KT-THUONG'!$C:$R,'2.2 KT-THUONG'!Q$5,0)</f>
        <v>50000000</v>
      </c>
      <c r="BM15" s="138">
        <f>VLOOKUP($D15,'2.2 KT-THUONG'!$C:$R,'2.2 KT-THUONG'!R$5,0)</f>
        <v>0</v>
      </c>
      <c r="BN15" s="138"/>
      <c r="BO15" s="139">
        <f t="shared" si="24"/>
        <v>149386666.66666669</v>
      </c>
      <c r="BP15" s="260">
        <f t="shared" si="25"/>
        <v>600000</v>
      </c>
      <c r="BQ15" s="300">
        <f t="shared" si="26"/>
        <v>22.5</v>
      </c>
      <c r="BR15" s="301">
        <v>22.5</v>
      </c>
      <c r="BS15" s="260">
        <f t="shared" si="27"/>
        <v>600000</v>
      </c>
      <c r="BT15" s="260">
        <f t="shared" si="28"/>
        <v>50000000</v>
      </c>
      <c r="BU15" s="260">
        <f t="shared" si="29"/>
        <v>0</v>
      </c>
      <c r="BV15" s="302">
        <f t="shared" si="30"/>
        <v>0</v>
      </c>
      <c r="BW15" s="260">
        <f>VLOOKUP(D15,'2.3 KT-GIAM TRU'!C:U,17,0)</f>
        <v>0</v>
      </c>
      <c r="BX15" s="260">
        <f t="shared" si="31"/>
        <v>800000</v>
      </c>
      <c r="BY15" s="260">
        <f t="shared" si="2"/>
        <v>150000</v>
      </c>
      <c r="BZ15" s="260">
        <f t="shared" si="3"/>
        <v>100000</v>
      </c>
      <c r="CA15" s="260"/>
      <c r="CB15" s="260">
        <f t="shared" si="32"/>
        <v>9000000</v>
      </c>
      <c r="CC15" s="301">
        <f>VLOOKUP(D15,'2.3 KT-GIAM TRU'!C:V,20,0)</f>
        <v>0</v>
      </c>
      <c r="CD15" s="260">
        <f t="shared" si="33"/>
        <v>0</v>
      </c>
      <c r="CE15" s="302">
        <f t="shared" si="34"/>
        <v>9000000</v>
      </c>
      <c r="CF15" s="302">
        <f t="shared" si="35"/>
        <v>88736666.666666687</v>
      </c>
      <c r="CG15" s="302">
        <f>IF(CF15&gt;'2.1 KT-Update ty le'!$A$16,CF15*'2.1 KT-Update ty le'!$B$17-'2.1 KT-Update ty le'!$E$17,IF(CF15&gt;'2.1 KT-Update ty le'!$A$15, CF15*'2.1 KT-Update ty le'!$B$16-'2.1 KT-Update ty le'!$E$16,IF(CF15&gt;'2.1 KT-Update ty le'!$A$14, CF15*'2.1 KT-Update ty le'!$B$15-'2.1 KT-Update ty le'!$E$15,IF(CF15&gt;'2.1 KT-Update ty le'!$A$13, CF15*'2.1 KT-Update ty le'!$B$14-'2.1 KT-Update ty le'!$E$14,IF(CF15&gt;'2.1 KT-Update ty le'!$A$12, CF15*'2.1 KT-Update ty le'!$B$13-'2.1 KT-Update ty le'!$E$13,IF(CF15&gt;'2.1 KT-Update ty le'!$A$11, CF15*'2.1 KT-Update ty le'!$B$12-'2.1 KT-Update ty le'!$E$12,IF(CF15&gt;0, CF15*'2.1 KT-Update ty le'!$B$11,0)))))))</f>
        <v>21207833.33333334</v>
      </c>
      <c r="CH15" s="260">
        <f>VLOOKUP(D15,'2.3 KT-GIAM TRU'!C:V,18,0)</f>
        <v>0</v>
      </c>
      <c r="CI15" s="260">
        <f>VLOOKUP(D15,'2.3 KT-GIAM TRU'!C:V,19,0)</f>
        <v>2000000</v>
      </c>
      <c r="CJ15" s="138">
        <f t="shared" si="4"/>
        <v>2000000</v>
      </c>
      <c r="CK15" s="297">
        <f>VLOOKUP($D15,'1.2 HR-Data luong'!$B:$V,'1.2 HR-Data luong'!S$5,0)</f>
        <v>8000000</v>
      </c>
      <c r="CL15" s="297">
        <f>VLOOKUP($D15,'1.2 HR-Data luong'!$B:$V,'1.2 HR-Data luong'!T$5,0)</f>
        <v>10000000</v>
      </c>
      <c r="CM15" s="303">
        <f>VLOOKUP($D15,'1.2 HR-Data luong'!$B:$V,'1.2 HR-Data luong'!U$5,0)</f>
        <v>42917</v>
      </c>
      <c r="CN15" s="304" t="str">
        <f>VLOOKUP($D15,'1.2 HR-Data luong'!$B:$V,'1.2 HR-Data luong'!V$5,0)</f>
        <v>Vào chính thức</v>
      </c>
      <c r="CO15" s="260">
        <f t="shared" si="36"/>
        <v>10000000</v>
      </c>
      <c r="CP15" s="260">
        <f t="shared" si="5"/>
        <v>1750000</v>
      </c>
      <c r="CQ15" s="260">
        <f t="shared" si="5"/>
        <v>300000</v>
      </c>
      <c r="CR15" s="260">
        <f t="shared" si="5"/>
        <v>100000</v>
      </c>
      <c r="CS15" s="260">
        <f t="shared" si="5"/>
        <v>200000</v>
      </c>
      <c r="CT15" s="260">
        <f t="shared" si="5"/>
        <v>800000</v>
      </c>
      <c r="CU15" s="260">
        <f t="shared" si="5"/>
        <v>150000</v>
      </c>
      <c r="CV15" s="260">
        <f t="shared" si="5"/>
        <v>100000</v>
      </c>
      <c r="CW15" s="260">
        <f t="shared" si="5"/>
        <v>1050000</v>
      </c>
      <c r="CX15" s="260">
        <f t="shared" si="5"/>
        <v>100000</v>
      </c>
      <c r="CY15" s="260">
        <f t="shared" si="5"/>
        <v>2550000</v>
      </c>
      <c r="CZ15" s="260">
        <f t="shared" si="5"/>
        <v>450000</v>
      </c>
      <c r="DA15" s="260">
        <f t="shared" si="5"/>
        <v>200000</v>
      </c>
      <c r="DB15" s="260">
        <f t="shared" si="5"/>
        <v>300000</v>
      </c>
      <c r="DC15" s="138">
        <f t="shared" si="37"/>
        <v>1050000</v>
      </c>
      <c r="DD15" s="138">
        <f t="shared" si="38"/>
        <v>100000</v>
      </c>
      <c r="DE15" s="138">
        <f>VLOOKUP($D15,'1.2 HR-Data luong'!$B:$BE,'1.2 HR-Data luong'!BE$5,0)</f>
        <v>0</v>
      </c>
      <c r="DF15" s="138">
        <f>VLOOKUP($D15,'1.2 HR-Data luong'!$B:$BE,'1.2 HR-Data luong'!AM$5,0)</f>
        <v>0</v>
      </c>
      <c r="DG15" s="138">
        <f>VLOOKUP($D15,'1.2 HR-Data luong'!$B:$BE,'1.2 HR-Data luong'!AN$5,0)</f>
        <v>0</v>
      </c>
      <c r="DH15" s="138">
        <f>VLOOKUP(D15,'2.3 KT-GIAM TRU'!C:S,16,0)</f>
        <v>0</v>
      </c>
      <c r="DI15" s="138">
        <f>VLOOKUP(D15,'2.3 KT-GIAM TRU'!C:S,15,0)</f>
        <v>0</v>
      </c>
      <c r="DJ15" s="139">
        <f t="shared" si="39"/>
        <v>146236666.66666669</v>
      </c>
      <c r="DK15" s="142" t="str">
        <f t="shared" si="42"/>
        <v>X</v>
      </c>
      <c r="DL15" s="138">
        <f t="shared" si="40"/>
        <v>146236666.66666669</v>
      </c>
      <c r="DM15" s="139" t="s">
        <v>352</v>
      </c>
      <c r="DN15" s="138"/>
      <c r="DO15" s="138"/>
      <c r="DP15" s="139"/>
      <c r="DQ15" s="138"/>
      <c r="DR15" s="138"/>
      <c r="DS15" s="139"/>
      <c r="DT15" s="138"/>
      <c r="DU15" s="138"/>
      <c r="DV15" s="139"/>
      <c r="DW15" s="138"/>
      <c r="DX15" s="138"/>
      <c r="DY15" s="139">
        <f t="shared" si="41"/>
        <v>0</v>
      </c>
      <c r="DZ15" s="138"/>
      <c r="EA15" s="138"/>
      <c r="EB15" s="138" t="str">
        <f>VLOOKUP(D15,'1.1 HR-Ho so nhan su'!B:AR,39,0)</f>
        <v>2. TPB</v>
      </c>
      <c r="EC15" s="138" t="str">
        <f>VLOOKUP(D15,'1.1 HR-Ho so nhan su'!B:AR,40,0)</f>
        <v>TPB008</v>
      </c>
      <c r="ED15" s="138" t="str">
        <f>VLOOKUP(D15,'1.1 HR-Ho so nhan su'!B:AR,41,0)</f>
        <v>Nguyễn Văn H</v>
      </c>
      <c r="EE15" s="138" t="str">
        <f>VLOOKUP(D15,'1.1 HR-Ho so nhan su'!B:AR,42,0)</f>
        <v>KHB</v>
      </c>
      <c r="EF15" s="138" t="str">
        <f>VLOOKUP(D15,'1.1 HR-Ho so nhan su'!B:AR,43,0)</f>
        <v>HN</v>
      </c>
      <c r="EG15" s="138">
        <f>VLOOKUP(D15,'1.1 HR-Ho so nhan su'!B:AS,44,0)</f>
        <v>0</v>
      </c>
    </row>
    <row r="16" spans="1:137" x14ac:dyDescent="0.25">
      <c r="A16" s="136">
        <v>2017.07</v>
      </c>
      <c r="B16" s="136">
        <v>9</v>
      </c>
      <c r="C16" s="136" t="s">
        <v>302</v>
      </c>
      <c r="D16" s="136" t="str">
        <f>VLOOKUP($B16,'1.2 HR-Data luong'!$A:$AD,'1.2 HR-Data luong'!B$5+1,0)</f>
        <v>ADS09</v>
      </c>
      <c r="E16" s="136" t="str">
        <f>VLOOKUP($B16,'1.2 HR-Data luong'!$A:$AD,'1.2 HR-Data luong'!C$5+1,0)</f>
        <v>HR HN</v>
      </c>
      <c r="F16" s="136" t="str">
        <f>VLOOKUP($B16,'1.2 HR-Data luong'!$A:$AD,'1.2 HR-Data luong'!D$5+1,0)</f>
        <v>NguyenVanI</v>
      </c>
      <c r="G16" s="136" t="str">
        <f>VLOOKUP($B16,'1.2 HR-Data luong'!$A:$AD,'1.2 HR-Data luong'!E$5+1,0)</f>
        <v>Nguyễn Văn I</v>
      </c>
      <c r="H16" s="136" t="str">
        <f>VLOOKUP($B16,'1.2 HR-Data luong'!$A:$AD,'1.2 HR-Data luong'!F$5+1,0)</f>
        <v>HN</v>
      </c>
      <c r="I16" s="136" t="str">
        <f>VLOOKUP($B16,'1.2 HR-Data luong'!$A:$AD,'1.2 HR-Data luong'!G$5+1,0)</f>
        <v>Trưởng phòng</v>
      </c>
      <c r="J16" s="136" t="str">
        <f>VLOOKUP($B16,'1.2 HR-Data luong'!$A:$AD,'1.2 HR-Data luong'!H$5+1,0)</f>
        <v>TP KPC</v>
      </c>
      <c r="K16" s="136" t="str">
        <f>VLOOKUP($B16,'1.2 HR-Data luong'!$A:$AD,'1.2 HR-Data luong'!I$5+1,0)</f>
        <v>CT</v>
      </c>
      <c r="L16" s="136" t="str">
        <f>VLOOKUP($B16,'1.2 HR-Data luong'!$A:$AD,'1.2 HR-Data luong'!J$5+1,0)</f>
        <v>inv@novaon.vn</v>
      </c>
      <c r="M16" s="136" t="str">
        <f>VLOOKUP($B16,'1.2 HR-Data luong'!$A:$AD,'1.2 HR-Data luong'!K$5+1,0)</f>
        <v>bom@novaon.vn</v>
      </c>
      <c r="N16" s="137" t="str">
        <f>VLOOKUP($D16,'1.2 HR-Data luong'!$B:$BG,'1.2 HR-Data luong'!BF$5,0)</f>
        <v>ON</v>
      </c>
      <c r="O16" s="142">
        <f>VLOOKUP($D16,'1.2 HR-Data luong'!$B:$BG,'1.2 HR-Data luong'!L$5,0)</f>
        <v>9000000</v>
      </c>
      <c r="P16" s="142">
        <f>VLOOKUP($D16,'1.2 HR-Data luong'!$B:$BG,'1.2 HR-Data luong'!M$5,0)</f>
        <v>0</v>
      </c>
      <c r="Q16" s="294">
        <f>VLOOKUP($D16,'1.2 HR-Data luong'!$B:$BG,'1.2 HR-Data luong'!N$5,0)</f>
        <v>0</v>
      </c>
      <c r="R16" s="136">
        <f>VLOOKUP($D16,'1.2 HR-Data luong'!$B:$BG,'1.2 HR-Data luong'!O$5,0)</f>
        <v>0</v>
      </c>
      <c r="S16" s="295">
        <f>VLOOKUP($D16,'1.2 HR-Data luong'!$B:$BG,'1.2 HR-Data luong'!P$5,0)</f>
        <v>22.5</v>
      </c>
      <c r="T16" s="295">
        <f>VLOOKUP($D16,'1.2 HR-Data luong'!$B:$BG,'1.2 HR-Data luong'!Q$5,0)</f>
        <v>0</v>
      </c>
      <c r="U16" s="295">
        <f>VLOOKUP($D16,'1.2 HR-Data luong'!$B:$BG,'1.2 HR-Data luong'!R$5,0)</f>
        <v>22.5</v>
      </c>
      <c r="V16" s="296">
        <f>VLOOKUP($D16,'1.2 HR-Data luong'!$B:$BG,'1.2 HR-Data luong'!W$5,0)</f>
        <v>0.09</v>
      </c>
      <c r="W16" s="296">
        <f>VLOOKUP($D16,'1.2 HR-Data luong'!$B:$BG,'1.2 HR-Data luong'!X$5,0)</f>
        <v>0</v>
      </c>
      <c r="X16" s="294">
        <f>VLOOKUP($D16,'1.2 HR-Data luong'!$B:$BG,'1.2 HR-Data luong'!Y$5,0)</f>
        <v>0</v>
      </c>
      <c r="Y16" s="295">
        <f>VLOOKUP($D16,'1.2 HR-Data luong'!$B:$BG,'1.2 HR-Data luong'!Z$5,0)</f>
        <v>0</v>
      </c>
      <c r="Z16" s="295">
        <f>VLOOKUP($D16,'1.2 HR-Data luong'!$B:$BG,'1.2 HR-Data luong'!AA$5,0)</f>
        <v>22.5</v>
      </c>
      <c r="AA16" s="295">
        <f>VLOOKUP($D16,'1.2 HR-Data luong'!$B:$BG,'1.2 HR-Data luong'!AB$5,0)</f>
        <v>0</v>
      </c>
      <c r="AB16" s="295">
        <f>VLOOKUP($D16,'1.2 HR-Data luong'!$B:$BG,'1.2 HR-Data luong'!AC$5,0)</f>
        <v>22.5</v>
      </c>
      <c r="AC16" s="297">
        <f t="shared" si="6"/>
        <v>9000000</v>
      </c>
      <c r="AD16" s="298">
        <f t="shared" si="7"/>
        <v>0.09</v>
      </c>
      <c r="AE16" s="299">
        <f t="shared" si="8"/>
        <v>22.5</v>
      </c>
      <c r="AF16" s="297">
        <f t="shared" si="9"/>
        <v>9000000</v>
      </c>
      <c r="AG16" s="298">
        <f t="shared" si="10"/>
        <v>0.09</v>
      </c>
      <c r="AH16" s="299">
        <f t="shared" si="11"/>
        <v>0</v>
      </c>
      <c r="AI16" s="297">
        <f t="shared" si="12"/>
        <v>0</v>
      </c>
      <c r="AJ16" s="298">
        <f t="shared" si="13"/>
        <v>0.09</v>
      </c>
      <c r="AK16" s="299">
        <f t="shared" si="14"/>
        <v>0</v>
      </c>
      <c r="AL16" s="297">
        <f t="shared" si="15"/>
        <v>0</v>
      </c>
      <c r="AM16" s="298">
        <f t="shared" si="16"/>
        <v>0.09</v>
      </c>
      <c r="AN16" s="299">
        <f t="shared" si="17"/>
        <v>0</v>
      </c>
      <c r="AO16" s="260">
        <f t="shared" si="18"/>
        <v>810000</v>
      </c>
      <c r="AP16" s="138">
        <f t="shared" si="19"/>
        <v>9000000</v>
      </c>
      <c r="AQ16" s="138">
        <f>VLOOKUP(D16,'3.2 ERP-PC THAM NIEN'!C:AK,35,0)</f>
        <v>810000</v>
      </c>
      <c r="AR16" s="139">
        <f t="shared" si="20"/>
        <v>9810000</v>
      </c>
      <c r="AS16" s="138">
        <f>VLOOKUP(D16,'1.2 HR-Data luong'!B:AK,34,0)</f>
        <v>0</v>
      </c>
      <c r="AT16" s="260">
        <f>VLOOKUP($D16,'1.2 HR-Data luong'!$B:$BG,'1.2 HR-Data luong'!AD$5,0)</f>
        <v>200000</v>
      </c>
      <c r="AU16" s="264">
        <f>VLOOKUP($D16,'1.2 HR-Data luong'!$B:$BG,'1.2 HR-Data luong'!AE$5,0)</f>
        <v>22.5</v>
      </c>
      <c r="AV16" s="264">
        <f>VLOOKUP($D16,'1.2 HR-Data luong'!B:R,'1.2 HR-Data luong'!R$5,0)</f>
        <v>22.5</v>
      </c>
      <c r="AW16" s="138">
        <f t="shared" si="0"/>
        <v>200000</v>
      </c>
      <c r="AX16" s="260">
        <f>VLOOKUP($D16,'1.2 HR-Data luong'!$B:$BG,'1.2 HR-Data luong'!AF$5,0)</f>
        <v>200000</v>
      </c>
      <c r="AY16" s="264">
        <f>VLOOKUP($D16,'1.2 HR-Data luong'!$B:$BG,'1.2 HR-Data luong'!AG$5,0)</f>
        <v>22.5</v>
      </c>
      <c r="AZ16" s="264">
        <f t="shared" si="21"/>
        <v>22.5</v>
      </c>
      <c r="BA16" s="138">
        <f t="shared" si="22"/>
        <v>200000</v>
      </c>
      <c r="BB16" s="260">
        <v>0</v>
      </c>
      <c r="BC16" s="140">
        <f>VLOOKUP(D16,'1.2 HR-Data luong'!B:R,17,0)</f>
        <v>22.5</v>
      </c>
      <c r="BD16" s="141">
        <f t="shared" si="1"/>
        <v>9810000</v>
      </c>
      <c r="BE16" s="139">
        <f t="shared" si="23"/>
        <v>400000</v>
      </c>
      <c r="BF16" s="138">
        <f>VLOOKUP($D16,'2.2 KT-THUONG'!$C:$R,'2.2 KT-THUONG'!K$5,0)</f>
        <v>300000</v>
      </c>
      <c r="BG16" s="138">
        <f>VLOOKUP($D16,'2.2 KT-THUONG'!$C:$R,'2.2 KT-THUONG'!L$5,0)</f>
        <v>9000000</v>
      </c>
      <c r="BH16" s="138">
        <f>VLOOKUP($D16,'2.2 KT-THUONG'!$C:$R,'2.2 KT-THUONG'!M$5,0)</f>
        <v>900000</v>
      </c>
      <c r="BI16" s="138">
        <f>VLOOKUP($D16,'2.2 KT-THUONG'!$C:$R,'2.2 KT-THUONG'!N$5,0)</f>
        <v>0</v>
      </c>
      <c r="BJ16" s="138">
        <f>VLOOKUP($D16,'2.2 KT-THUONG'!$C:$R,'2.2 KT-THUONG'!O$5,0)</f>
        <v>90000000</v>
      </c>
      <c r="BK16" s="138">
        <f>VLOOKUP($D16,'2.2 KT-THUONG'!$C:$R,'2.2 KT-THUONG'!P$5,0)</f>
        <v>0</v>
      </c>
      <c r="BL16" s="138">
        <f>VLOOKUP($D16,'2.2 KT-THUONG'!$C:$R,'2.2 KT-THUONG'!Q$5,0)</f>
        <v>50000000</v>
      </c>
      <c r="BM16" s="138">
        <f>VLOOKUP($D16,'2.2 KT-THUONG'!$C:$R,'2.2 KT-THUONG'!R$5,0)</f>
        <v>0</v>
      </c>
      <c r="BN16" s="138"/>
      <c r="BO16" s="139">
        <f t="shared" si="24"/>
        <v>160410000</v>
      </c>
      <c r="BP16" s="260">
        <f t="shared" si="25"/>
        <v>600000</v>
      </c>
      <c r="BQ16" s="300">
        <f t="shared" si="26"/>
        <v>22.5</v>
      </c>
      <c r="BR16" s="301">
        <v>22.5</v>
      </c>
      <c r="BS16" s="260">
        <f t="shared" si="27"/>
        <v>600000</v>
      </c>
      <c r="BT16" s="260">
        <f t="shared" si="28"/>
        <v>50000000</v>
      </c>
      <c r="BU16" s="260">
        <f t="shared" si="29"/>
        <v>0</v>
      </c>
      <c r="BV16" s="302">
        <f t="shared" si="30"/>
        <v>0</v>
      </c>
      <c r="BW16" s="260">
        <f>VLOOKUP(D16,'2.3 KT-GIAM TRU'!C:U,17,0)</f>
        <v>0</v>
      </c>
      <c r="BX16" s="260">
        <f t="shared" si="31"/>
        <v>720000</v>
      </c>
      <c r="BY16" s="260">
        <f t="shared" si="2"/>
        <v>135000</v>
      </c>
      <c r="BZ16" s="260">
        <f t="shared" si="3"/>
        <v>90000</v>
      </c>
      <c r="CA16" s="260"/>
      <c r="CB16" s="260">
        <f t="shared" si="32"/>
        <v>9000000</v>
      </c>
      <c r="CC16" s="301">
        <f>VLOOKUP(D16,'2.3 KT-GIAM TRU'!C:V,20,0)</f>
        <v>1</v>
      </c>
      <c r="CD16" s="260">
        <f t="shared" si="33"/>
        <v>3600000</v>
      </c>
      <c r="CE16" s="302">
        <f t="shared" si="34"/>
        <v>12600000</v>
      </c>
      <c r="CF16" s="302">
        <f t="shared" si="35"/>
        <v>96265000</v>
      </c>
      <c r="CG16" s="302">
        <f>IF(CF16&gt;'2.1 KT-Update ty le'!$A$16,CF16*'2.1 KT-Update ty le'!$B$17-'2.1 KT-Update ty le'!$E$17,IF(CF16&gt;'2.1 KT-Update ty le'!$A$15, CF16*'2.1 KT-Update ty le'!$B$16-'2.1 KT-Update ty le'!$E$16,IF(CF16&gt;'2.1 KT-Update ty le'!$A$14, CF16*'2.1 KT-Update ty le'!$B$15-'2.1 KT-Update ty le'!$E$15,IF(CF16&gt;'2.1 KT-Update ty le'!$A$13, CF16*'2.1 KT-Update ty le'!$B$14-'2.1 KT-Update ty le'!$E$14,IF(CF16&gt;'2.1 KT-Update ty le'!$A$12, CF16*'2.1 KT-Update ty le'!$B$13-'2.1 KT-Update ty le'!$E$13,IF(CF16&gt;'2.1 KT-Update ty le'!$A$11, CF16*'2.1 KT-Update ty le'!$B$12-'2.1 KT-Update ty le'!$E$12,IF(CF16&gt;0, CF16*'2.1 KT-Update ty le'!$B$11,0)))))))</f>
        <v>23842750</v>
      </c>
      <c r="CH16" s="260">
        <f>VLOOKUP(D16,'2.3 KT-GIAM TRU'!C:V,18,0)</f>
        <v>0</v>
      </c>
      <c r="CI16" s="260">
        <f>VLOOKUP(D16,'2.3 KT-GIAM TRU'!C:V,19,0)</f>
        <v>0</v>
      </c>
      <c r="CJ16" s="138">
        <f t="shared" si="4"/>
        <v>23842750</v>
      </c>
      <c r="CK16" s="297">
        <f>VLOOKUP($D16,'1.2 HR-Data luong'!$B:$V,'1.2 HR-Data luong'!S$5,0)</f>
        <v>9000000</v>
      </c>
      <c r="CL16" s="297">
        <f>VLOOKUP($D16,'1.2 HR-Data luong'!$B:$V,'1.2 HR-Data luong'!T$5,0)</f>
        <v>0</v>
      </c>
      <c r="CM16" s="303">
        <f>VLOOKUP($D16,'1.2 HR-Data luong'!$B:$V,'1.2 HR-Data luong'!U$5,0)</f>
        <v>0</v>
      </c>
      <c r="CN16" s="304">
        <f>VLOOKUP($D16,'1.2 HR-Data luong'!$B:$V,'1.2 HR-Data luong'!V$5,0)</f>
        <v>0</v>
      </c>
      <c r="CO16" s="260">
        <f t="shared" si="36"/>
        <v>9000000</v>
      </c>
      <c r="CP16" s="260">
        <f t="shared" si="5"/>
        <v>1575000</v>
      </c>
      <c r="CQ16" s="260">
        <f t="shared" si="5"/>
        <v>270000</v>
      </c>
      <c r="CR16" s="260">
        <f t="shared" si="5"/>
        <v>90000</v>
      </c>
      <c r="CS16" s="260">
        <f t="shared" si="5"/>
        <v>180000</v>
      </c>
      <c r="CT16" s="260">
        <f t="shared" si="5"/>
        <v>720000</v>
      </c>
      <c r="CU16" s="260">
        <f t="shared" si="5"/>
        <v>135000</v>
      </c>
      <c r="CV16" s="260">
        <f t="shared" si="5"/>
        <v>90000</v>
      </c>
      <c r="CW16" s="260">
        <f t="shared" si="5"/>
        <v>945000</v>
      </c>
      <c r="CX16" s="260">
        <f t="shared" si="5"/>
        <v>90000</v>
      </c>
      <c r="CY16" s="260">
        <f t="shared" si="5"/>
        <v>2295000</v>
      </c>
      <c r="CZ16" s="260">
        <f t="shared" si="5"/>
        <v>405000</v>
      </c>
      <c r="DA16" s="260">
        <f t="shared" si="5"/>
        <v>180000</v>
      </c>
      <c r="DB16" s="260">
        <f t="shared" si="5"/>
        <v>270000</v>
      </c>
      <c r="DC16" s="138">
        <f t="shared" si="37"/>
        <v>945000</v>
      </c>
      <c r="DD16" s="138">
        <f t="shared" si="38"/>
        <v>90000</v>
      </c>
      <c r="DE16" s="138">
        <f>VLOOKUP($D16,'1.2 HR-Data luong'!$B:$BE,'1.2 HR-Data luong'!BE$5,0)</f>
        <v>0</v>
      </c>
      <c r="DF16" s="138">
        <f>VLOOKUP($D16,'1.2 HR-Data luong'!$B:$BE,'1.2 HR-Data luong'!AM$5,0)</f>
        <v>22000</v>
      </c>
      <c r="DG16" s="138">
        <f>VLOOKUP($D16,'1.2 HR-Data luong'!$B:$BE,'1.2 HR-Data luong'!AN$5,0)</f>
        <v>0</v>
      </c>
      <c r="DH16" s="138">
        <f>VLOOKUP(D16,'2.3 KT-GIAM TRU'!C:S,16,0)</f>
        <v>0</v>
      </c>
      <c r="DI16" s="138">
        <f>VLOOKUP(D16,'2.3 KT-GIAM TRU'!C:S,15,0)</f>
        <v>0</v>
      </c>
      <c r="DJ16" s="139">
        <f t="shared" si="39"/>
        <v>135510250</v>
      </c>
      <c r="DK16" s="142" t="str">
        <f t="shared" si="42"/>
        <v>X</v>
      </c>
      <c r="DL16" s="138">
        <f t="shared" si="40"/>
        <v>135510250</v>
      </c>
      <c r="DM16" s="139" t="s">
        <v>352</v>
      </c>
      <c r="DN16" s="138"/>
      <c r="DO16" s="138"/>
      <c r="DP16" s="139"/>
      <c r="DQ16" s="138"/>
      <c r="DR16" s="138"/>
      <c r="DS16" s="139"/>
      <c r="DT16" s="138"/>
      <c r="DU16" s="138"/>
      <c r="DV16" s="139"/>
      <c r="DW16" s="138"/>
      <c r="DX16" s="138"/>
      <c r="DY16" s="139">
        <f t="shared" si="41"/>
        <v>0</v>
      </c>
      <c r="DZ16" s="138"/>
      <c r="EA16" s="138"/>
      <c r="EB16" s="138" t="str">
        <f>VLOOKUP(D16,'1.1 HR-Ho so nhan su'!B:AR,39,0)</f>
        <v>2. TPB</v>
      </c>
      <c r="EC16" s="138" t="str">
        <f>VLOOKUP(D16,'1.1 HR-Ho so nhan su'!B:AR,40,0)</f>
        <v>TPB009</v>
      </c>
      <c r="ED16" s="138" t="str">
        <f>VLOOKUP(D16,'1.1 HR-Ho so nhan su'!B:AR,41,0)</f>
        <v>Nguyễn Văn I</v>
      </c>
      <c r="EE16" s="138" t="str">
        <f>VLOOKUP(D16,'1.1 HR-Ho so nhan su'!B:AR,42,0)</f>
        <v>KHB</v>
      </c>
      <c r="EF16" s="138" t="str">
        <f>VLOOKUP(D16,'1.1 HR-Ho so nhan su'!B:AR,43,0)</f>
        <v>HN</v>
      </c>
      <c r="EG16" s="138">
        <f>VLOOKUP(D16,'1.1 HR-Ho so nhan su'!B:AS,44,0)</f>
        <v>0</v>
      </c>
    </row>
    <row r="17" spans="1:137" x14ac:dyDescent="0.25">
      <c r="A17" s="136">
        <v>2017.07</v>
      </c>
      <c r="B17" s="136">
        <v>10</v>
      </c>
      <c r="C17" s="136" t="s">
        <v>302</v>
      </c>
      <c r="D17" s="136" t="str">
        <f>VLOOKUP($B17,'1.2 HR-Data luong'!$A:$AD,'1.2 HR-Data luong'!B$5+1,0)</f>
        <v>ADS10</v>
      </c>
      <c r="E17" s="136" t="str">
        <f>VLOOKUP($B17,'1.2 HR-Data luong'!$A:$AD,'1.2 HR-Data luong'!C$5+1,0)</f>
        <v>HR HN</v>
      </c>
      <c r="F17" s="136" t="str">
        <f>VLOOKUP($B17,'1.2 HR-Data luong'!$A:$AD,'1.2 HR-Data luong'!D$5+1,0)</f>
        <v>NguyenVanK</v>
      </c>
      <c r="G17" s="136" t="str">
        <f>VLOOKUP($B17,'1.2 HR-Data luong'!$A:$AD,'1.2 HR-Data luong'!E$5+1,0)</f>
        <v>Nguyễn Văn K</v>
      </c>
      <c r="H17" s="136" t="str">
        <f>VLOOKUP($B17,'1.2 HR-Data luong'!$A:$AD,'1.2 HR-Data luong'!F$5+1,0)</f>
        <v>HN</v>
      </c>
      <c r="I17" s="136" t="str">
        <f>VLOOKUP($B17,'1.2 HR-Data luong'!$A:$AD,'1.2 HR-Data luong'!G$5+1,0)</f>
        <v>Nhân viên</v>
      </c>
      <c r="J17" s="136" t="str">
        <f>VLOOKUP($B17,'1.2 HR-Data luong'!$A:$AD,'1.2 HR-Data luong'!H$5+1,0)</f>
        <v>C1</v>
      </c>
      <c r="K17" s="136" t="str">
        <f>VLOOKUP($B17,'1.2 HR-Data luong'!$A:$AD,'1.2 HR-Data luong'!I$5+1,0)</f>
        <v>CT</v>
      </c>
      <c r="L17" s="136" t="str">
        <f>VLOOKUP($B17,'1.2 HR-Data luong'!$A:$AD,'1.2 HR-Data luong'!J$5+1,0)</f>
        <v>knv@novaon.vn</v>
      </c>
      <c r="M17" s="136" t="str">
        <f>VLOOKUP($B17,'1.2 HR-Data luong'!$A:$AD,'1.2 HR-Data luong'!K$5+1,0)</f>
        <v>inv@novaon.vn</v>
      </c>
      <c r="N17" s="137" t="str">
        <f>VLOOKUP($D17,'1.2 HR-Data luong'!$B:$BG,'1.2 HR-Data luong'!BF$5,0)</f>
        <v>ON</v>
      </c>
      <c r="O17" s="142">
        <f>VLOOKUP($D17,'1.2 HR-Data luong'!$B:$BG,'1.2 HR-Data luong'!L$5,0)</f>
        <v>10000000</v>
      </c>
      <c r="P17" s="142">
        <f>VLOOKUP($D17,'1.2 HR-Data luong'!$B:$BG,'1.2 HR-Data luong'!M$5,0)</f>
        <v>0</v>
      </c>
      <c r="Q17" s="294">
        <f>VLOOKUP($D17,'1.2 HR-Data luong'!$B:$BG,'1.2 HR-Data luong'!N$5,0)</f>
        <v>0</v>
      </c>
      <c r="R17" s="136">
        <f>VLOOKUP($D17,'1.2 HR-Data luong'!$B:$BG,'1.2 HR-Data luong'!O$5,0)</f>
        <v>0</v>
      </c>
      <c r="S17" s="295">
        <f>VLOOKUP($D17,'1.2 HR-Data luong'!$B:$BG,'1.2 HR-Data luong'!P$5,0)</f>
        <v>22.5</v>
      </c>
      <c r="T17" s="295">
        <f>VLOOKUP($D17,'1.2 HR-Data luong'!$B:$BG,'1.2 HR-Data luong'!Q$5,0)</f>
        <v>0</v>
      </c>
      <c r="U17" s="295">
        <f>VLOOKUP($D17,'1.2 HR-Data luong'!$B:$BG,'1.2 HR-Data luong'!R$5,0)</f>
        <v>22.5</v>
      </c>
      <c r="V17" s="296">
        <f>VLOOKUP($D17,'1.2 HR-Data luong'!$B:$BG,'1.2 HR-Data luong'!W$5,0)</f>
        <v>0.1</v>
      </c>
      <c r="W17" s="296">
        <f>VLOOKUP($D17,'1.2 HR-Data luong'!$B:$BG,'1.2 HR-Data luong'!X$5,0)</f>
        <v>0</v>
      </c>
      <c r="X17" s="294">
        <f>VLOOKUP($D17,'1.2 HR-Data luong'!$B:$BG,'1.2 HR-Data luong'!Y$5,0)</f>
        <v>0</v>
      </c>
      <c r="Y17" s="295">
        <f>VLOOKUP($D17,'1.2 HR-Data luong'!$B:$BG,'1.2 HR-Data luong'!Z$5,0)</f>
        <v>0</v>
      </c>
      <c r="Z17" s="295">
        <f>VLOOKUP($D17,'1.2 HR-Data luong'!$B:$BG,'1.2 HR-Data luong'!AA$5,0)</f>
        <v>22.5</v>
      </c>
      <c r="AA17" s="295">
        <f>VLOOKUP($D17,'1.2 HR-Data luong'!$B:$BG,'1.2 HR-Data luong'!AB$5,0)</f>
        <v>0</v>
      </c>
      <c r="AB17" s="295">
        <f>VLOOKUP($D17,'1.2 HR-Data luong'!$B:$BG,'1.2 HR-Data luong'!AC$5,0)</f>
        <v>22.5</v>
      </c>
      <c r="AC17" s="297">
        <f t="shared" si="6"/>
        <v>10000000</v>
      </c>
      <c r="AD17" s="298">
        <f t="shared" si="7"/>
        <v>0.1</v>
      </c>
      <c r="AE17" s="299">
        <f t="shared" si="8"/>
        <v>22.5</v>
      </c>
      <c r="AF17" s="297">
        <f t="shared" si="9"/>
        <v>10000000</v>
      </c>
      <c r="AG17" s="298">
        <f t="shared" si="10"/>
        <v>0.1</v>
      </c>
      <c r="AH17" s="299">
        <f t="shared" si="11"/>
        <v>0</v>
      </c>
      <c r="AI17" s="297">
        <f t="shared" si="12"/>
        <v>0</v>
      </c>
      <c r="AJ17" s="298">
        <f t="shared" si="13"/>
        <v>0.1</v>
      </c>
      <c r="AK17" s="299">
        <f t="shared" si="14"/>
        <v>0</v>
      </c>
      <c r="AL17" s="297">
        <f t="shared" si="15"/>
        <v>0</v>
      </c>
      <c r="AM17" s="298">
        <f t="shared" si="16"/>
        <v>0.1</v>
      </c>
      <c r="AN17" s="299">
        <f t="shared" si="17"/>
        <v>0</v>
      </c>
      <c r="AO17" s="260">
        <f t="shared" si="18"/>
        <v>1000000</v>
      </c>
      <c r="AP17" s="138">
        <f t="shared" si="19"/>
        <v>10000000</v>
      </c>
      <c r="AQ17" s="138">
        <f>VLOOKUP(D17,'3.2 ERP-PC THAM NIEN'!C:AK,35,0)</f>
        <v>1000000</v>
      </c>
      <c r="AR17" s="139">
        <f t="shared" si="20"/>
        <v>11000000</v>
      </c>
      <c r="AS17" s="138">
        <f>VLOOKUP(D17,'1.2 HR-Data luong'!B:AK,34,0)</f>
        <v>0</v>
      </c>
      <c r="AT17" s="260">
        <f>VLOOKUP($D17,'1.2 HR-Data luong'!$B:$BG,'1.2 HR-Data luong'!AD$5,0)</f>
        <v>200000</v>
      </c>
      <c r="AU17" s="264">
        <f>VLOOKUP($D17,'1.2 HR-Data luong'!$B:$BG,'1.2 HR-Data luong'!AE$5,0)</f>
        <v>22.5</v>
      </c>
      <c r="AV17" s="264">
        <f>VLOOKUP($D17,'1.2 HR-Data luong'!B:R,'1.2 HR-Data luong'!R$5,0)</f>
        <v>22.5</v>
      </c>
      <c r="AW17" s="138">
        <f t="shared" si="0"/>
        <v>200000</v>
      </c>
      <c r="AX17" s="260">
        <f>VLOOKUP($D17,'1.2 HR-Data luong'!$B:$BG,'1.2 HR-Data luong'!AF$5,0)</f>
        <v>200000</v>
      </c>
      <c r="AY17" s="264">
        <f>VLOOKUP($D17,'1.2 HR-Data luong'!$B:$BG,'1.2 HR-Data luong'!AG$5,0)</f>
        <v>22.5</v>
      </c>
      <c r="AZ17" s="264">
        <f t="shared" si="21"/>
        <v>22.5</v>
      </c>
      <c r="BA17" s="138">
        <f t="shared" si="22"/>
        <v>200000</v>
      </c>
      <c r="BB17" s="260">
        <v>0</v>
      </c>
      <c r="BC17" s="140">
        <f>VLOOKUP(D17,'1.2 HR-Data luong'!B:R,17,0)</f>
        <v>22.5</v>
      </c>
      <c r="BD17" s="141">
        <f t="shared" si="1"/>
        <v>11000000</v>
      </c>
      <c r="BE17" s="139">
        <f t="shared" si="23"/>
        <v>400000</v>
      </c>
      <c r="BF17" s="138">
        <f>VLOOKUP($D17,'2.2 KT-THUONG'!$C:$R,'2.2 KT-THUONG'!K$5,0)</f>
        <v>300000</v>
      </c>
      <c r="BG17" s="138">
        <f>VLOOKUP($D17,'2.2 KT-THUONG'!$C:$R,'2.2 KT-THUONG'!L$5,0)</f>
        <v>10000000</v>
      </c>
      <c r="BH17" s="138">
        <f>VLOOKUP($D17,'2.2 KT-THUONG'!$C:$R,'2.2 KT-THUONG'!M$5,0)</f>
        <v>1000000</v>
      </c>
      <c r="BI17" s="138">
        <f>VLOOKUP($D17,'2.2 KT-THUONG'!$C:$R,'2.2 KT-THUONG'!N$5,0)</f>
        <v>0</v>
      </c>
      <c r="BJ17" s="138">
        <f>VLOOKUP($D17,'2.2 KT-THUONG'!$C:$R,'2.2 KT-THUONG'!O$5,0)</f>
        <v>100000000</v>
      </c>
      <c r="BK17" s="138">
        <f>VLOOKUP($D17,'2.2 KT-THUONG'!$C:$R,'2.2 KT-THUONG'!P$5,0)</f>
        <v>0</v>
      </c>
      <c r="BL17" s="138">
        <f>VLOOKUP($D17,'2.2 KT-THUONG'!$C:$R,'2.2 KT-THUONG'!Q$5,0)</f>
        <v>50000000</v>
      </c>
      <c r="BM17" s="138">
        <f>VLOOKUP($D17,'2.2 KT-THUONG'!$C:$R,'2.2 KT-THUONG'!R$5,0)</f>
        <v>0</v>
      </c>
      <c r="BN17" s="138"/>
      <c r="BO17" s="139">
        <f t="shared" si="24"/>
        <v>172700000</v>
      </c>
      <c r="BP17" s="260">
        <f t="shared" si="25"/>
        <v>600000</v>
      </c>
      <c r="BQ17" s="300">
        <f t="shared" si="26"/>
        <v>22.5</v>
      </c>
      <c r="BR17" s="301">
        <v>22.5</v>
      </c>
      <c r="BS17" s="260">
        <f t="shared" si="27"/>
        <v>600000</v>
      </c>
      <c r="BT17" s="260">
        <f t="shared" si="28"/>
        <v>50000000</v>
      </c>
      <c r="BU17" s="260">
        <f t="shared" si="29"/>
        <v>0</v>
      </c>
      <c r="BV17" s="302">
        <f t="shared" si="30"/>
        <v>0</v>
      </c>
      <c r="BW17" s="260">
        <f>VLOOKUP(D17,'2.3 KT-GIAM TRU'!C:U,17,0)</f>
        <v>0</v>
      </c>
      <c r="BX17" s="260">
        <f t="shared" si="31"/>
        <v>800000</v>
      </c>
      <c r="BY17" s="260">
        <f t="shared" si="2"/>
        <v>150000</v>
      </c>
      <c r="BZ17" s="260">
        <f t="shared" si="3"/>
        <v>100000</v>
      </c>
      <c r="CA17" s="260"/>
      <c r="CB17" s="260">
        <f t="shared" si="32"/>
        <v>9000000</v>
      </c>
      <c r="CC17" s="301">
        <f>VLOOKUP(D17,'2.3 KT-GIAM TRU'!C:V,20,0)</f>
        <v>2</v>
      </c>
      <c r="CD17" s="260">
        <f t="shared" si="33"/>
        <v>7200000</v>
      </c>
      <c r="CE17" s="302">
        <f t="shared" si="34"/>
        <v>16200000</v>
      </c>
      <c r="CF17" s="302">
        <f t="shared" si="35"/>
        <v>104850000</v>
      </c>
      <c r="CG17" s="302">
        <f>IF(CF17&gt;'2.1 KT-Update ty le'!$A$16,CF17*'2.1 KT-Update ty le'!$B$17-'2.1 KT-Update ty le'!$E$17,IF(CF17&gt;'2.1 KT-Update ty le'!$A$15, CF17*'2.1 KT-Update ty le'!$B$16-'2.1 KT-Update ty le'!$E$16,IF(CF17&gt;'2.1 KT-Update ty le'!$A$14, CF17*'2.1 KT-Update ty le'!$B$15-'2.1 KT-Update ty le'!$E$15,IF(CF17&gt;'2.1 KT-Update ty le'!$A$13, CF17*'2.1 KT-Update ty le'!$B$14-'2.1 KT-Update ty le'!$E$14,IF(CF17&gt;'2.1 KT-Update ty le'!$A$12, CF17*'2.1 KT-Update ty le'!$B$13-'2.1 KT-Update ty le'!$E$13,IF(CF17&gt;'2.1 KT-Update ty le'!$A$11, CF17*'2.1 KT-Update ty le'!$B$12-'2.1 KT-Update ty le'!$E$12,IF(CF17&gt;0, CF17*'2.1 KT-Update ty le'!$B$11,0)))))))</f>
        <v>26847500</v>
      </c>
      <c r="CH17" s="260">
        <f>VLOOKUP(D17,'2.3 KT-GIAM TRU'!C:V,18,0)</f>
        <v>0</v>
      </c>
      <c r="CI17" s="260">
        <f>VLOOKUP(D17,'2.3 KT-GIAM TRU'!C:V,19,0)</f>
        <v>0</v>
      </c>
      <c r="CJ17" s="138">
        <f t="shared" si="4"/>
        <v>26847500</v>
      </c>
      <c r="CK17" s="297">
        <f>VLOOKUP($D17,'1.2 HR-Data luong'!$B:$V,'1.2 HR-Data luong'!S$5,0)</f>
        <v>10000000</v>
      </c>
      <c r="CL17" s="297">
        <f>VLOOKUP($D17,'1.2 HR-Data luong'!$B:$V,'1.2 HR-Data luong'!T$5,0)</f>
        <v>0</v>
      </c>
      <c r="CM17" s="303">
        <f>VLOOKUP($D17,'1.2 HR-Data luong'!$B:$V,'1.2 HR-Data luong'!U$5,0)</f>
        <v>0</v>
      </c>
      <c r="CN17" s="304">
        <f>VLOOKUP($D17,'1.2 HR-Data luong'!$B:$V,'1.2 HR-Data luong'!V$5,0)</f>
        <v>0</v>
      </c>
      <c r="CO17" s="260">
        <f t="shared" si="36"/>
        <v>10000000</v>
      </c>
      <c r="CP17" s="260">
        <f t="shared" si="5"/>
        <v>1750000</v>
      </c>
      <c r="CQ17" s="260">
        <f t="shared" si="5"/>
        <v>300000</v>
      </c>
      <c r="CR17" s="260">
        <f t="shared" si="5"/>
        <v>100000</v>
      </c>
      <c r="CS17" s="260">
        <f t="shared" si="5"/>
        <v>200000</v>
      </c>
      <c r="CT17" s="260">
        <f t="shared" si="5"/>
        <v>800000</v>
      </c>
      <c r="CU17" s="260">
        <f t="shared" si="5"/>
        <v>150000</v>
      </c>
      <c r="CV17" s="260">
        <f t="shared" si="5"/>
        <v>100000</v>
      </c>
      <c r="CW17" s="260">
        <f t="shared" si="5"/>
        <v>1050000</v>
      </c>
      <c r="CX17" s="260">
        <f t="shared" si="5"/>
        <v>100000</v>
      </c>
      <c r="CY17" s="260">
        <f t="shared" si="5"/>
        <v>2550000</v>
      </c>
      <c r="CZ17" s="260">
        <f t="shared" si="5"/>
        <v>450000</v>
      </c>
      <c r="DA17" s="260">
        <f t="shared" si="5"/>
        <v>200000</v>
      </c>
      <c r="DB17" s="260">
        <f t="shared" si="5"/>
        <v>300000</v>
      </c>
      <c r="DC17" s="138">
        <f t="shared" si="37"/>
        <v>1050000</v>
      </c>
      <c r="DD17" s="138">
        <f t="shared" si="38"/>
        <v>100000</v>
      </c>
      <c r="DE17" s="138">
        <f>VLOOKUP($D17,'1.2 HR-Data luong'!$B:$BE,'1.2 HR-Data luong'!BE$5,0)</f>
        <v>0</v>
      </c>
      <c r="DF17" s="138">
        <f>VLOOKUP($D17,'1.2 HR-Data luong'!$B:$BE,'1.2 HR-Data luong'!AM$5,0)</f>
        <v>0</v>
      </c>
      <c r="DG17" s="138">
        <f>VLOOKUP($D17,'1.2 HR-Data luong'!$B:$BE,'1.2 HR-Data luong'!AN$5,0)</f>
        <v>0</v>
      </c>
      <c r="DH17" s="138">
        <f>VLOOKUP(D17,'2.3 KT-GIAM TRU'!C:S,16,0)</f>
        <v>0</v>
      </c>
      <c r="DI17" s="138">
        <f>VLOOKUP(D17,'2.3 KT-GIAM TRU'!C:S,15,0)</f>
        <v>0</v>
      </c>
      <c r="DJ17" s="139">
        <f t="shared" si="39"/>
        <v>144702500</v>
      </c>
      <c r="DK17" s="142" t="str">
        <f t="shared" si="42"/>
        <v>X</v>
      </c>
      <c r="DL17" s="138">
        <f t="shared" si="40"/>
        <v>144702500</v>
      </c>
      <c r="DM17" s="139" t="s">
        <v>352</v>
      </c>
      <c r="DN17" s="138"/>
      <c r="DO17" s="138"/>
      <c r="DP17" s="139"/>
      <c r="DQ17" s="138"/>
      <c r="DR17" s="138"/>
      <c r="DS17" s="139"/>
      <c r="DT17" s="138"/>
      <c r="DU17" s="138"/>
      <c r="DV17" s="139"/>
      <c r="DW17" s="138"/>
      <c r="DX17" s="138"/>
      <c r="DY17" s="139">
        <f t="shared" si="41"/>
        <v>0</v>
      </c>
      <c r="DZ17" s="138"/>
      <c r="EA17" s="138"/>
      <c r="EB17" s="138" t="str">
        <f>VLOOKUP(D17,'1.1 HR-Ho so nhan su'!B:AR,39,0)</f>
        <v>2. TPB</v>
      </c>
      <c r="EC17" s="138" t="str">
        <f>VLOOKUP(D17,'1.1 HR-Ho so nhan su'!B:AR,40,0)</f>
        <v>TPB010</v>
      </c>
      <c r="ED17" s="138" t="str">
        <f>VLOOKUP(D17,'1.1 HR-Ho so nhan su'!B:AR,41,0)</f>
        <v>Nguyễn Văn K</v>
      </c>
      <c r="EE17" s="138" t="str">
        <f>VLOOKUP(D17,'1.1 HR-Ho so nhan su'!B:AR,42,0)</f>
        <v>KHB</v>
      </c>
      <c r="EF17" s="138" t="str">
        <f>VLOOKUP(D17,'1.1 HR-Ho so nhan su'!B:AR,43,0)</f>
        <v>HN</v>
      </c>
      <c r="EG17" s="138">
        <f>VLOOKUP(D17,'1.1 HR-Ho so nhan su'!B:AS,44,0)</f>
        <v>0</v>
      </c>
    </row>
  </sheetData>
  <mergeCells count="56">
    <mergeCell ref="L4:M4"/>
    <mergeCell ref="A4:A5"/>
    <mergeCell ref="B4:B5"/>
    <mergeCell ref="C4:C5"/>
    <mergeCell ref="D4:D5"/>
    <mergeCell ref="E4:E5"/>
    <mergeCell ref="F4:F5"/>
    <mergeCell ref="G4:G5"/>
    <mergeCell ref="H4:H5"/>
    <mergeCell ref="I4:I5"/>
    <mergeCell ref="J4:J5"/>
    <mergeCell ref="K4:K5"/>
    <mergeCell ref="N4:N5"/>
    <mergeCell ref="AP4:AQ4"/>
    <mergeCell ref="AR4:AR5"/>
    <mergeCell ref="BD4:BD5"/>
    <mergeCell ref="BE4:BE5"/>
    <mergeCell ref="AD4:AD5"/>
    <mergeCell ref="AE4:AE5"/>
    <mergeCell ref="AF4:AF5"/>
    <mergeCell ref="AG4:AG5"/>
    <mergeCell ref="AM4:AM5"/>
    <mergeCell ref="DZ4:DZ5"/>
    <mergeCell ref="EA4:EA5"/>
    <mergeCell ref="EB4:EG4"/>
    <mergeCell ref="O4:R4"/>
    <mergeCell ref="S4:U4"/>
    <mergeCell ref="V4:Y4"/>
    <mergeCell ref="Z4:AB4"/>
    <mergeCell ref="AC4:AC5"/>
    <mergeCell ref="BF4:BM4"/>
    <mergeCell ref="BN4:BN5"/>
    <mergeCell ref="BO4:BO5"/>
    <mergeCell ref="DJ4:DJ5"/>
    <mergeCell ref="DK4:DY4"/>
    <mergeCell ref="AH4:AH5"/>
    <mergeCell ref="AI4:AI5"/>
    <mergeCell ref="AJ4:AJ5"/>
    <mergeCell ref="AK4:AK5"/>
    <mergeCell ref="AL4:AL5"/>
    <mergeCell ref="CG4:CG5"/>
    <mergeCell ref="CH4:CH5"/>
    <mergeCell ref="CY4:DB4"/>
    <mergeCell ref="AN4:AN5"/>
    <mergeCell ref="AO4:AO5"/>
    <mergeCell ref="AS4:BB4"/>
    <mergeCell ref="BP4:BS4"/>
    <mergeCell ref="BT4:BW4"/>
    <mergeCell ref="BX4:CA4"/>
    <mergeCell ref="CB4:CE4"/>
    <mergeCell ref="CF4:CF5"/>
    <mergeCell ref="CI4:CI5"/>
    <mergeCell ref="CK4:CN4"/>
    <mergeCell ref="CO4:CO5"/>
    <mergeCell ref="CP4:CS4"/>
    <mergeCell ref="CT4:CX4"/>
  </mergeCells>
  <conditionalFormatting sqref="D4:D7 F7 H7 J7 L7 N7 P7 R7 T7 V7 X7 Z7 AB7 AD7 AF7 AH7 AJ7 AL7 AN7 AP7 AR7 AT7 AV7 AX7 AZ7 BB7 BD7 BF7 BH7 BJ7 BL7 BN7 BP7 BR7 BT7 BV7 BX7 BZ7 CB7 CD7 CF7 CH7 CJ7 CL7 CN7 CP7 CR7 CT7 CV7 CX7 CZ7 DB7 DD7 DF7 DH7 DJ7 DL7 DN7 DP7 DR7 DT7 DV7 DX7 DZ7 EB7 ED7 EF7">
    <cfRule type="duplicateValues" dxfId="0" priority="7"/>
  </conditionalFormatting>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1"/>
  <sheetViews>
    <sheetView showGridLines="0" topLeftCell="A10" workbookViewId="0">
      <selection activeCell="E22" sqref="E22"/>
    </sheetView>
  </sheetViews>
  <sheetFormatPr defaultRowHeight="12.75" x14ac:dyDescent="0.2"/>
  <cols>
    <col min="1" max="1" width="43.5703125" style="218" customWidth="1"/>
    <col min="2" max="3" width="14.5703125" style="218" customWidth="1"/>
    <col min="4" max="16384" width="9.140625" style="218"/>
  </cols>
  <sheetData>
    <row r="1" spans="1:3" x14ac:dyDescent="0.2">
      <c r="A1" s="217" t="str">
        <f>"Dear "&amp;VLOOKUP($C$1,'4. ERP-BANG LUONG'!$D:$G,'4. ERP-BANG LUONG'!G$6,0)&amp;","</f>
        <v>Dear Nguyễn Văn B,</v>
      </c>
      <c r="C1" s="219" t="s">
        <v>96</v>
      </c>
    </row>
    <row r="2" spans="1:3" x14ac:dyDescent="0.2">
      <c r="A2" s="217" t="s">
        <v>324</v>
      </c>
    </row>
    <row r="3" spans="1:3" x14ac:dyDescent="0.2">
      <c r="A3" s="211"/>
    </row>
    <row r="4" spans="1:3" x14ac:dyDescent="0.2">
      <c r="A4" s="217"/>
    </row>
    <row r="5" spans="1:3" x14ac:dyDescent="0.2">
      <c r="A5" s="373" t="s">
        <v>460</v>
      </c>
      <c r="B5" s="374"/>
      <c r="C5" s="375"/>
    </row>
    <row r="6" spans="1:3" x14ac:dyDescent="0.2">
      <c r="A6" s="376" t="s">
        <v>325</v>
      </c>
      <c r="B6" s="377"/>
      <c r="C6" s="378"/>
    </row>
    <row r="7" spans="1:3" x14ac:dyDescent="0.2">
      <c r="A7" s="220" t="s">
        <v>47</v>
      </c>
      <c r="B7" s="221" t="str">
        <f>VLOOKUP($C$1,'4. ERP-BANG LUONG'!$D:$G,'4. ERP-BANG LUONG'!G$6,0)</f>
        <v>Nguyễn Văn B</v>
      </c>
      <c r="C7" s="221"/>
    </row>
    <row r="8" spans="1:3" x14ac:dyDescent="0.2">
      <c r="A8" s="222" t="s">
        <v>1</v>
      </c>
      <c r="B8" s="223" t="str">
        <f>C1</f>
        <v>ADS02</v>
      </c>
      <c r="C8" s="212"/>
    </row>
    <row r="9" spans="1:3" x14ac:dyDescent="0.2">
      <c r="A9" s="222" t="s">
        <v>29</v>
      </c>
      <c r="B9" s="224">
        <f>VLOOKUP($B$8,'4. ERP-BANG LUONG v2'!$D:$EG,52,0)</f>
        <v>20.5</v>
      </c>
      <c r="C9" s="213"/>
    </row>
    <row r="10" spans="1:3" x14ac:dyDescent="0.2">
      <c r="A10" s="222" t="s">
        <v>326</v>
      </c>
      <c r="B10" s="225">
        <f>'4. ERP-BANG LUONG v2'!$BC$4</f>
        <v>22.5</v>
      </c>
      <c r="C10" s="222"/>
    </row>
    <row r="11" spans="1:3" x14ac:dyDescent="0.2">
      <c r="A11" s="220" t="s">
        <v>327</v>
      </c>
      <c r="B11" s="220" t="s">
        <v>328</v>
      </c>
      <c r="C11" s="220" t="s">
        <v>329</v>
      </c>
    </row>
    <row r="12" spans="1:3" x14ac:dyDescent="0.2">
      <c r="A12" s="226" t="s">
        <v>330</v>
      </c>
      <c r="B12" s="227">
        <f>VLOOKUP($B$8,'4. ERP-BANG LUONG v2'!$D:$EG,39,0)</f>
        <v>2195121.9512195121</v>
      </c>
      <c r="C12" s="214"/>
    </row>
    <row r="13" spans="1:3" x14ac:dyDescent="0.2">
      <c r="A13" s="226" t="s">
        <v>331</v>
      </c>
      <c r="B13" s="227">
        <f>VLOOKUP($B$8,'4. ERP-BANG LUONG v2'!$D:$EG,40,0)</f>
        <v>40000</v>
      </c>
      <c r="C13" s="214"/>
    </row>
    <row r="14" spans="1:3" x14ac:dyDescent="0.2">
      <c r="A14" s="222" t="s">
        <v>332</v>
      </c>
      <c r="B14" s="228">
        <f>VLOOKUP($B$8,'4. ERP-BANG LUONG v2'!$D:$EG,53,0)</f>
        <v>2036444.4444444443</v>
      </c>
      <c r="C14" s="215"/>
    </row>
    <row r="15" spans="1:3" x14ac:dyDescent="0.2">
      <c r="A15" s="222" t="s">
        <v>333</v>
      </c>
      <c r="B15" s="228">
        <f>VLOOKUP($B$8,'4. ERP-BANG LUONG v2'!$D:$EG,54,0)</f>
        <v>266666.66666666669</v>
      </c>
      <c r="C15" s="215"/>
    </row>
    <row r="16" spans="1:3" x14ac:dyDescent="0.2">
      <c r="A16" s="222" t="s">
        <v>28</v>
      </c>
      <c r="B16" s="228">
        <f>VLOOKUP($B$8,'4. ERP-BANG LUONG v2'!$D:$EG,57,0)</f>
        <v>200000</v>
      </c>
      <c r="C16" s="215"/>
    </row>
    <row r="17" spans="1:3" x14ac:dyDescent="0.2">
      <c r="A17" s="222" t="s">
        <v>243</v>
      </c>
      <c r="B17" s="228">
        <f>VLOOKUP($B$8,'4. ERP-BANG LUONG v2'!$D:$EG,58,0)</f>
        <v>0</v>
      </c>
      <c r="C17" s="215"/>
    </row>
    <row r="18" spans="1:3" x14ac:dyDescent="0.2">
      <c r="A18" s="222" t="s">
        <v>27</v>
      </c>
      <c r="B18" s="228">
        <f>VLOOKUP($B$8,'4. ERP-BANG LUONG v2'!$D:$EG,56,0)</f>
        <v>2000000</v>
      </c>
      <c r="C18" s="215"/>
    </row>
    <row r="19" spans="1:3" x14ac:dyDescent="0.2">
      <c r="A19" s="222" t="s">
        <v>25</v>
      </c>
      <c r="B19" s="228">
        <f>VLOOKUP($B$8,'4. ERP-BANG LUONG v2'!$D:$EG,55,0)</f>
        <v>300000</v>
      </c>
      <c r="C19" s="215"/>
    </row>
    <row r="20" spans="1:3" x14ac:dyDescent="0.2">
      <c r="A20" s="222" t="s">
        <v>26</v>
      </c>
      <c r="B20" s="228">
        <f>VLOOKUP($B$8,'4. ERP-BANG LUONG v2'!$D:$EG,59,0)</f>
        <v>20000000</v>
      </c>
      <c r="C20" s="215"/>
    </row>
    <row r="21" spans="1:3" x14ac:dyDescent="0.2">
      <c r="A21" s="222" t="s">
        <v>347</v>
      </c>
      <c r="B21" s="228">
        <f>VLOOKUP($B$8,'4. ERP-BANG LUONG v2'!$D:$EG,60,0)</f>
        <v>0</v>
      </c>
      <c r="C21" s="215"/>
    </row>
    <row r="22" spans="1:3" x14ac:dyDescent="0.2">
      <c r="A22" s="222" t="s">
        <v>349</v>
      </c>
      <c r="B22" s="228">
        <f>VLOOKUP($B$8,'4. ERP-BANG LUONG v2'!$D:$EG,61,0)</f>
        <v>50000000</v>
      </c>
      <c r="C22" s="215"/>
    </row>
    <row r="23" spans="1:3" x14ac:dyDescent="0.2">
      <c r="A23" s="222" t="s">
        <v>348</v>
      </c>
      <c r="B23" s="228">
        <f>VLOOKUP($B$8,'4. ERP-BANG LUONG v2'!$D:$EG,62,0)</f>
        <v>0</v>
      </c>
      <c r="C23" s="215"/>
    </row>
    <row r="24" spans="1:3" x14ac:dyDescent="0.2">
      <c r="A24" s="222" t="s">
        <v>334</v>
      </c>
      <c r="B24" s="228">
        <f>VLOOKUP($B$8,'4. ERP-BANG LUONG v2'!$D:$EG,63,0)</f>
        <v>0</v>
      </c>
      <c r="C24" s="215"/>
    </row>
    <row r="25" spans="1:3" x14ac:dyDescent="0.2">
      <c r="A25" s="222" t="s">
        <v>30</v>
      </c>
      <c r="B25" s="215"/>
      <c r="C25" s="228">
        <f>VLOOKUP($B$8,'4. ERP-BANG LUONG v2'!$D:$EG,85,0)</f>
        <v>1506966.666666666</v>
      </c>
    </row>
    <row r="26" spans="1:3" x14ac:dyDescent="0.2">
      <c r="A26" s="222" t="s">
        <v>335</v>
      </c>
      <c r="B26" s="215"/>
      <c r="C26" s="228">
        <f>VLOOKUP($B$8,'4. ERP-BANG LUONG v2'!$D:$EG,104,0)</f>
        <v>210000</v>
      </c>
    </row>
    <row r="27" spans="1:3" x14ac:dyDescent="0.2">
      <c r="A27" s="222" t="s">
        <v>336</v>
      </c>
      <c r="B27" s="215"/>
      <c r="C27" s="228">
        <f>VLOOKUP($B$8,'4. ERP-BANG LUONG v2'!$D:$EG,105,0)</f>
        <v>20000</v>
      </c>
    </row>
    <row r="28" spans="1:3" x14ac:dyDescent="0.2">
      <c r="A28" s="222" t="s">
        <v>33</v>
      </c>
      <c r="B28" s="215"/>
      <c r="C28" s="228">
        <f>VLOOKUP($B$8,'4. ERP-BANG LUONG v2'!$D:$EG,106,0)</f>
        <v>0</v>
      </c>
    </row>
    <row r="29" spans="1:3" x14ac:dyDescent="0.2">
      <c r="A29" s="222" t="s">
        <v>337</v>
      </c>
      <c r="B29" s="215"/>
      <c r="C29" s="228">
        <f>VLOOKUP($B$8,'4. ERP-BANG LUONG v2'!$D:$EG,107,0)</f>
        <v>0</v>
      </c>
    </row>
    <row r="30" spans="1:3" x14ac:dyDescent="0.2">
      <c r="A30" s="222" t="s">
        <v>350</v>
      </c>
      <c r="B30" s="215"/>
      <c r="C30" s="228">
        <f>VLOOKUP($B$8,'4. ERP-BANG LUONG v2'!$D:$EG,108,0)</f>
        <v>1000000</v>
      </c>
    </row>
    <row r="31" spans="1:3" x14ac:dyDescent="0.2">
      <c r="A31" s="222" t="s">
        <v>35</v>
      </c>
      <c r="B31" s="215"/>
      <c r="C31" s="228">
        <f>VLOOKUP($B$8,'4. ERP-BANG LUONG v2'!$D:$EG,109,0)</f>
        <v>500000</v>
      </c>
    </row>
    <row r="32" spans="1:3" x14ac:dyDescent="0.2">
      <c r="A32" s="222" t="s">
        <v>265</v>
      </c>
      <c r="B32" s="229"/>
      <c r="C32" s="228">
        <f>VLOOKUP($B$8,'4. ERP-BANG LUONG v2'!$D:$EG,110,0)</f>
        <v>315000</v>
      </c>
    </row>
    <row r="33" spans="1:3" x14ac:dyDescent="0.2">
      <c r="A33" s="220" t="s">
        <v>338</v>
      </c>
      <c r="B33" s="230">
        <f>SUM(B14:B32)</f>
        <v>74803111.111111104</v>
      </c>
      <c r="C33" s="230">
        <f>SUM(C14:C32)</f>
        <v>3551966.666666666</v>
      </c>
    </row>
    <row r="34" spans="1:3" x14ac:dyDescent="0.2">
      <c r="A34" s="220" t="s">
        <v>339</v>
      </c>
      <c r="B34" s="216"/>
      <c r="C34" s="230">
        <f>B33-C33</f>
        <v>71251144.444444433</v>
      </c>
    </row>
    <row r="35" spans="1:3" x14ac:dyDescent="0.2">
      <c r="A35" s="373" t="s">
        <v>340</v>
      </c>
      <c r="B35" s="374"/>
      <c r="C35" s="375"/>
    </row>
    <row r="36" spans="1:3" x14ac:dyDescent="0.2">
      <c r="A36" s="222" t="s">
        <v>341</v>
      </c>
      <c r="B36" s="379">
        <f>VLOOKUP($B$8,'4. ERP-BANG LUONG v2'!$D:$EG,113,0)</f>
        <v>0</v>
      </c>
      <c r="C36" s="380" t="str">
        <f>VLOOKUP($B$8,'4. ERP-BANG LUONG v2'!$D:$EG,1,0)</f>
        <v>ADS02</v>
      </c>
    </row>
    <row r="37" spans="1:3" x14ac:dyDescent="0.2">
      <c r="A37" s="222" t="s">
        <v>342</v>
      </c>
      <c r="B37" s="379">
        <f>VLOOKUP($B$8,'4. ERP-BANG LUONG v2'!$D:$EG,116,0)</f>
        <v>71251144.444444433</v>
      </c>
      <c r="C37" s="380" t="str">
        <f>VLOOKUP($B$8,'4. ERP-BANG LUONG v2'!$D:$EG,1,0)</f>
        <v>ADS02</v>
      </c>
    </row>
    <row r="38" spans="1:3" x14ac:dyDescent="0.2">
      <c r="A38" s="222" t="s">
        <v>351</v>
      </c>
      <c r="B38" s="379" t="s">
        <v>351</v>
      </c>
      <c r="C38" s="380" t="str">
        <f>VLOOKUP($B$8,'4. ERP-BANG LUONG v2'!$D:$EG,1,0)</f>
        <v>ADS02</v>
      </c>
    </row>
    <row r="39" spans="1:3" x14ac:dyDescent="0.2">
      <c r="A39" s="222" t="s">
        <v>481</v>
      </c>
      <c r="B39" s="379">
        <f>VLOOKUP($B$8,'4. ERP-BANG LUONG v2'!$D:$EG,122,0)</f>
        <v>0</v>
      </c>
      <c r="C39" s="380" t="str">
        <f>VLOOKUP($B$8,'4. ERP-BANG LUONG v2'!$D:$EG,1,0)</f>
        <v>ADS02</v>
      </c>
    </row>
    <row r="40" spans="1:3" x14ac:dyDescent="0.2">
      <c r="A40" s="222" t="s">
        <v>39</v>
      </c>
      <c r="B40" s="379">
        <f>VLOOKUP($B$8,'4. ERP-BANG LUONG v2'!$D:$EG,126,0)</f>
        <v>0</v>
      </c>
      <c r="C40" s="380" t="str">
        <f>VLOOKUP($B$8,'4. ERP-BANG LUONG v2'!$D:$EG,1,0)</f>
        <v>ADS02</v>
      </c>
    </row>
    <row r="41" spans="1:3" x14ac:dyDescent="0.2">
      <c r="A41" s="222" t="s">
        <v>78</v>
      </c>
      <c r="B41" s="379">
        <f>VLOOKUP($B$8,'4. ERP-BANG LUONG v2'!$D:$EG,127,0)</f>
        <v>0</v>
      </c>
      <c r="C41" s="380" t="str">
        <f>VLOOKUP($B$8,'4. ERP-BANG LUONG v2'!$D:$EG,1,0)</f>
        <v>ADS02</v>
      </c>
    </row>
    <row r="42" spans="1:3" x14ac:dyDescent="0.2">
      <c r="A42" s="373" t="s">
        <v>343</v>
      </c>
      <c r="B42" s="374"/>
      <c r="C42" s="375"/>
    </row>
    <row r="43" spans="1:3" x14ac:dyDescent="0.2">
      <c r="A43" s="222" t="s">
        <v>79</v>
      </c>
      <c r="B43" s="381" t="str">
        <f>VLOOKUP($B$8,'4. ERP-BANG LUONG v2'!$D:$EG,130,0)</f>
        <v>TPB002</v>
      </c>
      <c r="C43" s="382" t="str">
        <f>VLOOKUP($B$8,'4. ERP-BANG LUONG v2'!$D:$EG,1,0)</f>
        <v>ADS02</v>
      </c>
    </row>
    <row r="44" spans="1:3" x14ac:dyDescent="0.2">
      <c r="A44" s="222" t="s">
        <v>80</v>
      </c>
      <c r="B44" s="381" t="str">
        <f>VLOOKUP($B$8,'4. ERP-BANG LUONG v2'!$D:$EG,131,0)</f>
        <v>Nguyễn Văn B</v>
      </c>
      <c r="C44" s="382" t="str">
        <f>VLOOKUP($B$8,'4. ERP-BANG LUONG v2'!$D:$EG,1,0)</f>
        <v>ADS02</v>
      </c>
    </row>
    <row r="45" spans="1:3" x14ac:dyDescent="0.2">
      <c r="A45" s="222" t="s">
        <v>42</v>
      </c>
      <c r="B45" s="381" t="str">
        <f>VLOOKUP($B$8,'4. ERP-BANG LUONG v2'!$D:$EG,129,0)</f>
        <v>2. TPB</v>
      </c>
      <c r="C45" s="382" t="str">
        <f>VLOOKUP($B$8,'4. ERP-BANG LUONG v2'!$D:$EG,1,0)</f>
        <v>ADS02</v>
      </c>
    </row>
    <row r="46" spans="1:3" x14ac:dyDescent="0.2">
      <c r="A46" s="217"/>
    </row>
    <row r="47" spans="1:3" x14ac:dyDescent="0.2">
      <c r="A47" s="231" t="s">
        <v>344</v>
      </c>
    </row>
    <row r="48" spans="1:3" x14ac:dyDescent="0.2">
      <c r="A48" s="211" t="s">
        <v>345</v>
      </c>
    </row>
    <row r="49" spans="1:1" x14ac:dyDescent="0.2">
      <c r="A49" s="217"/>
    </row>
    <row r="50" spans="1:1" x14ac:dyDescent="0.2">
      <c r="A50" s="217"/>
    </row>
    <row r="51" spans="1:1" x14ac:dyDescent="0.2">
      <c r="A51" s="211" t="s">
        <v>346</v>
      </c>
    </row>
  </sheetData>
  <mergeCells count="13">
    <mergeCell ref="B44:C44"/>
    <mergeCell ref="B45:C45"/>
    <mergeCell ref="B38:C38"/>
    <mergeCell ref="B39:C39"/>
    <mergeCell ref="B40:C40"/>
    <mergeCell ref="B41:C41"/>
    <mergeCell ref="A42:C42"/>
    <mergeCell ref="B43:C43"/>
    <mergeCell ref="A5:C5"/>
    <mergeCell ref="A6:C6"/>
    <mergeCell ref="A35:C35"/>
    <mergeCell ref="B36:C36"/>
    <mergeCell ref="B37:C37"/>
  </mergeCells>
  <hyperlinks>
    <hyperlink ref="A47" r:id="rId1" display="mailto:allketoan.ads@novaon.vn"/>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7"/>
  <sheetViews>
    <sheetView topLeftCell="A7" workbookViewId="0">
      <selection activeCell="K18" sqref="K18"/>
    </sheetView>
  </sheetViews>
  <sheetFormatPr defaultRowHeight="15" x14ac:dyDescent="0.25"/>
  <cols>
    <col min="1" max="1" width="6.85546875" customWidth="1"/>
    <col min="2" max="2" width="11" customWidth="1"/>
    <col min="3" max="3" width="14.140625" customWidth="1"/>
    <col min="6" max="6" width="17.42578125" customWidth="1"/>
    <col min="7" max="7" width="16.42578125" customWidth="1"/>
    <col min="8" max="8" width="13" customWidth="1"/>
    <col min="9" max="9" width="10.85546875" customWidth="1"/>
    <col min="10" max="10" width="35.140625" customWidth="1"/>
    <col min="11" max="11" width="13.42578125" customWidth="1"/>
    <col min="12" max="12" width="18.5703125" customWidth="1"/>
  </cols>
  <sheetData>
    <row r="1" spans="1:12" x14ac:dyDescent="0.25">
      <c r="A1" t="s">
        <v>369</v>
      </c>
      <c r="C1" s="153" t="s">
        <v>302</v>
      </c>
      <c r="D1" t="s">
        <v>370</v>
      </c>
      <c r="F1" s="153" t="s">
        <v>83</v>
      </c>
    </row>
    <row r="2" spans="1:12" x14ac:dyDescent="0.25">
      <c r="A2" t="s">
        <v>419</v>
      </c>
      <c r="C2" s="153" t="s">
        <v>352</v>
      </c>
      <c r="F2" s="153"/>
    </row>
    <row r="3" spans="1:12" x14ac:dyDescent="0.25">
      <c r="A3" s="156" t="str">
        <f>"Lưu Kế toán "&amp;C1&amp;F1</f>
        <v>Lưu Kế toán ADSHN</v>
      </c>
      <c r="B3" s="98"/>
      <c r="C3" s="157"/>
      <c r="D3" s="157"/>
      <c r="E3" s="157"/>
      <c r="F3" s="158"/>
      <c r="G3" s="98"/>
      <c r="H3" s="98"/>
      <c r="I3" s="159"/>
      <c r="J3" s="159"/>
      <c r="K3" s="98"/>
      <c r="L3" s="98"/>
    </row>
    <row r="4" spans="1:12" ht="18.75" x14ac:dyDescent="0.3">
      <c r="A4" s="160" t="s">
        <v>372</v>
      </c>
      <c r="B4" s="161"/>
      <c r="C4" s="162"/>
      <c r="D4" s="162"/>
      <c r="E4" s="162"/>
      <c r="F4" s="163"/>
      <c r="G4" s="164"/>
      <c r="H4" s="164"/>
      <c r="I4" s="165"/>
      <c r="J4" s="165"/>
      <c r="K4" s="164"/>
      <c r="L4" s="164"/>
    </row>
    <row r="5" spans="1:12" x14ac:dyDescent="0.25">
      <c r="A5" s="98" t="s">
        <v>368</v>
      </c>
      <c r="B5" s="98"/>
      <c r="C5" s="157"/>
      <c r="D5" s="166"/>
      <c r="E5" s="157"/>
      <c r="F5" s="158"/>
      <c r="G5" s="98"/>
      <c r="H5" s="98"/>
      <c r="I5" s="159"/>
      <c r="J5" s="159"/>
      <c r="K5" s="98"/>
      <c r="L5" s="98"/>
    </row>
    <row r="6" spans="1:12" x14ac:dyDescent="0.25">
      <c r="A6" s="98" t="s">
        <v>353</v>
      </c>
      <c r="B6" s="98"/>
      <c r="C6" s="208">
        <v>42948</v>
      </c>
      <c r="E6" s="208"/>
      <c r="F6" s="208"/>
      <c r="G6" s="98"/>
      <c r="H6" s="98"/>
      <c r="I6" s="159"/>
      <c r="J6" s="159"/>
      <c r="K6" s="98"/>
      <c r="L6" s="98"/>
    </row>
    <row r="7" spans="1:12" x14ac:dyDescent="0.25">
      <c r="A7" s="98"/>
      <c r="B7" s="98"/>
      <c r="C7" s="167"/>
      <c r="D7" s="168"/>
      <c r="E7" s="168"/>
      <c r="F7" s="169"/>
      <c r="G7" s="170"/>
      <c r="H7" s="170"/>
      <c r="I7" s="159"/>
      <c r="J7" s="171"/>
      <c r="K7" s="98"/>
      <c r="L7" s="98"/>
    </row>
    <row r="8" spans="1:12" x14ac:dyDescent="0.25">
      <c r="A8" s="172"/>
      <c r="B8" s="172"/>
      <c r="C8" s="172"/>
      <c r="D8" s="168"/>
      <c r="E8" s="168"/>
      <c r="F8" s="169"/>
      <c r="G8" s="173" t="s">
        <v>354</v>
      </c>
      <c r="H8" s="174" t="str">
        <f>C1&amp;F1</f>
        <v>ADSHN</v>
      </c>
      <c r="I8" s="159"/>
      <c r="J8" s="175"/>
      <c r="K8" s="175"/>
      <c r="L8" s="175"/>
    </row>
    <row r="9" spans="1:12" x14ac:dyDescent="0.25">
      <c r="A9" s="176"/>
      <c r="B9" s="177"/>
      <c r="C9" s="177"/>
      <c r="D9" s="168"/>
      <c r="E9" s="168"/>
      <c r="F9" s="169"/>
      <c r="G9" s="178" t="s">
        <v>355</v>
      </c>
      <c r="H9" s="179">
        <f>SUM(I14:I20)</f>
        <v>544852779.62962961</v>
      </c>
      <c r="I9" s="159"/>
      <c r="J9" s="180"/>
      <c r="K9" s="180"/>
      <c r="L9" s="180"/>
    </row>
    <row r="10" spans="1:12" x14ac:dyDescent="0.25">
      <c r="A10" s="176"/>
      <c r="B10" s="177"/>
      <c r="C10" s="177"/>
      <c r="D10" s="168"/>
      <c r="E10" s="168"/>
      <c r="F10" s="169"/>
      <c r="G10" s="178" t="s">
        <v>371</v>
      </c>
      <c r="H10" s="179">
        <v>0</v>
      </c>
      <c r="I10" s="159"/>
      <c r="J10" s="180"/>
      <c r="K10" s="180"/>
      <c r="L10" s="180"/>
    </row>
    <row r="11" spans="1:12" x14ac:dyDescent="0.25">
      <c r="A11" s="181"/>
      <c r="B11" s="182"/>
      <c r="C11" s="182"/>
      <c r="D11" s="168"/>
      <c r="E11" s="168"/>
      <c r="F11" s="169"/>
      <c r="G11" s="183" t="s">
        <v>338</v>
      </c>
      <c r="H11" s="184">
        <f>SUM(H9:H10)</f>
        <v>544852779.62962961</v>
      </c>
      <c r="I11" s="159"/>
      <c r="J11" s="185"/>
      <c r="K11" s="185"/>
      <c r="L11" s="185"/>
    </row>
    <row r="12" spans="1:12" x14ac:dyDescent="0.25">
      <c r="A12" s="186"/>
      <c r="B12" s="186"/>
      <c r="C12" s="187"/>
      <c r="D12" s="187"/>
      <c r="E12" s="157"/>
      <c r="F12" s="158"/>
      <c r="G12" s="98"/>
      <c r="H12" s="98"/>
      <c r="I12" s="159"/>
      <c r="J12" s="159"/>
      <c r="K12" s="98"/>
      <c r="L12" s="98"/>
    </row>
    <row r="13" spans="1:12" ht="22.5" x14ac:dyDescent="0.25">
      <c r="A13" s="188" t="s">
        <v>44</v>
      </c>
      <c r="B13" s="188" t="s">
        <v>356</v>
      </c>
      <c r="C13" s="188" t="s">
        <v>1</v>
      </c>
      <c r="D13" s="188" t="s">
        <v>2</v>
      </c>
      <c r="E13" s="188" t="s">
        <v>357</v>
      </c>
      <c r="F13" s="189" t="s">
        <v>76</v>
      </c>
      <c r="G13" s="190" t="s">
        <v>75</v>
      </c>
      <c r="H13" s="190" t="s">
        <v>358</v>
      </c>
      <c r="I13" s="190" t="s">
        <v>181</v>
      </c>
      <c r="J13" s="190" t="s">
        <v>359</v>
      </c>
      <c r="K13" s="190" t="s">
        <v>78</v>
      </c>
      <c r="L13" s="190" t="s">
        <v>159</v>
      </c>
    </row>
    <row r="14" spans="1:12" x14ac:dyDescent="0.25">
      <c r="A14" s="191">
        <v>1</v>
      </c>
      <c r="B14" s="191" t="s">
        <v>83</v>
      </c>
      <c r="C14" s="191" t="s">
        <v>95</v>
      </c>
      <c r="D14" s="209" t="str">
        <f>VLOOKUP($C14,'4. ERP-BANG LUONG v2'!$D:$EG,2,0)</f>
        <v>BD01 HN</v>
      </c>
      <c r="E14" s="209" t="str">
        <f>VLOOKUP($C14,'4. ERP-BANG LUONG v2'!$D:$EG,129,0)</f>
        <v>2. TPB</v>
      </c>
      <c r="F14" s="209" t="str">
        <f>VLOOKUP($C14,'4. ERP-BANG LUONG v2'!$D:$EG,131,0)</f>
        <v>Nguyễn Văn A</v>
      </c>
      <c r="G14" s="209" t="str">
        <f>VLOOKUP($C14,'4. ERP-BANG LUONG v2'!$D:$EG,130,0)</f>
        <v>TPB001</v>
      </c>
      <c r="H14" s="209" t="str">
        <f>VLOOKUP($C14,'4. ERP-BANG LUONG v2'!$D:$EG,132,0)</f>
        <v>KHB</v>
      </c>
      <c r="I14" s="192">
        <f>VLOOKUP($C14,'4. ERP-BANG LUONG v2'!$D:$EG,113,0)</f>
        <v>67917898.76543209</v>
      </c>
      <c r="J14" s="210" t="str">
        <f>"NVO "&amp;$H$8&amp;" thanh toan lg T7 - "&amp;F14</f>
        <v>NVO ADSHN thanh toan lg T7 - Nguyễn Văn A</v>
      </c>
      <c r="K14" s="193">
        <f>VLOOKUP($C14,'4. ERP-BANG LUONG v2'!$D:$EG,127,0)</f>
        <v>0</v>
      </c>
      <c r="L14" s="193" t="str">
        <f>VLOOKUP($C14,'4. ERP-BANG LUONG v2'!$D:$EG,9,0)</f>
        <v>anv@novaon.vn</v>
      </c>
    </row>
    <row r="15" spans="1:12" x14ac:dyDescent="0.25">
      <c r="A15" s="194">
        <v>2</v>
      </c>
      <c r="B15" s="191" t="s">
        <v>83</v>
      </c>
      <c r="C15" s="191" t="s">
        <v>96</v>
      </c>
      <c r="D15" s="209" t="str">
        <f>VLOOKUP($C15,'4. ERP-BANG LUONG v2'!$D:$EG,2,0)</f>
        <v>BD01 HN</v>
      </c>
      <c r="E15" s="209" t="str">
        <f>VLOOKUP($C15,'4. ERP-BANG LUONG v2'!$D:$EG,129,0)</f>
        <v>2. TPB</v>
      </c>
      <c r="F15" s="209" t="str">
        <f>VLOOKUP($C15,'4. ERP-BANG LUONG v2'!$D:$EG,131,0)</f>
        <v>Nguyễn Văn B</v>
      </c>
      <c r="G15" s="209" t="str">
        <f>VLOOKUP($C15,'4. ERP-BANG LUONG v2'!$D:$EG,130,0)</f>
        <v>TPB002</v>
      </c>
      <c r="H15" s="209" t="str">
        <f>VLOOKUP($C15,'4. ERP-BANG LUONG v2'!$D:$EG,132,0)</f>
        <v>KHB</v>
      </c>
      <c r="I15" s="192">
        <f>VLOOKUP($C15,'4. ERP-BANG LUONG v2'!$D:$EG,113,0)</f>
        <v>0</v>
      </c>
      <c r="J15" s="210" t="str">
        <f t="shared" ref="J15:J20" si="0">"NVO "&amp;$H$8&amp;" thanh toan lg T7 - "&amp;F15</f>
        <v>NVO ADSHN thanh toan lg T7 - Nguyễn Văn B</v>
      </c>
      <c r="K15" s="193">
        <f>VLOOKUP($C15,'4. ERP-BANG LUONG v2'!$D:$EG,127,0)</f>
        <v>0</v>
      </c>
      <c r="L15" s="193" t="str">
        <f>VLOOKUP($C15,'4. ERP-BANG LUONG v2'!$D:$EG,9,0)</f>
        <v>bnv@novaon.vn</v>
      </c>
    </row>
    <row r="16" spans="1:12" x14ac:dyDescent="0.25">
      <c r="A16" s="191">
        <v>3</v>
      </c>
      <c r="B16" s="191" t="s">
        <v>83</v>
      </c>
      <c r="C16" s="191" t="s">
        <v>97</v>
      </c>
      <c r="D16" s="209" t="str">
        <f>VLOOKUP($C16,'4. ERP-BANG LUONG v2'!$D:$EG,2,0)</f>
        <v>BD02 HN</v>
      </c>
      <c r="E16" s="209" t="str">
        <f>VLOOKUP($C16,'4. ERP-BANG LUONG v2'!$D:$EG,129,0)</f>
        <v>2. TPB</v>
      </c>
      <c r="F16" s="209" t="str">
        <f>VLOOKUP($C16,'4. ERP-BANG LUONG v2'!$D:$EG,131,0)</f>
        <v>Nguyễn Văn C</v>
      </c>
      <c r="G16" s="209" t="str">
        <f>VLOOKUP($C16,'4. ERP-BANG LUONG v2'!$D:$EG,130,0)</f>
        <v>TPB003</v>
      </c>
      <c r="H16" s="209" t="str">
        <f>VLOOKUP($C16,'4. ERP-BANG LUONG v2'!$D:$EG,132,0)</f>
        <v>KHB</v>
      </c>
      <c r="I16" s="192">
        <f>VLOOKUP($C16,'4. ERP-BANG LUONG v2'!$D:$EG,113,0)</f>
        <v>0</v>
      </c>
      <c r="J16" s="210" t="str">
        <f t="shared" si="0"/>
        <v>NVO ADSHN thanh toan lg T7 - Nguyễn Văn C</v>
      </c>
      <c r="K16" s="193">
        <f>VLOOKUP($C16,'4. ERP-BANG LUONG v2'!$D:$EG,127,0)</f>
        <v>0</v>
      </c>
      <c r="L16" s="193" t="str">
        <f>VLOOKUP($C16,'4. ERP-BANG LUONG v2'!$D:$EG,9,0)</f>
        <v>cnv@novaon.vn</v>
      </c>
    </row>
    <row r="17" spans="1:12" x14ac:dyDescent="0.25">
      <c r="A17" s="191">
        <v>4</v>
      </c>
      <c r="B17" s="191" t="s">
        <v>83</v>
      </c>
      <c r="C17" s="191" t="s">
        <v>98</v>
      </c>
      <c r="D17" s="209" t="str">
        <f>VLOOKUP($C17,'4. ERP-BANG LUONG v2'!$D:$EG,2,0)</f>
        <v>BD02 HN</v>
      </c>
      <c r="E17" s="209" t="str">
        <f>VLOOKUP($C17,'4. ERP-BANG LUONG v2'!$D:$EG,129,0)</f>
        <v>2. TPB</v>
      </c>
      <c r="F17" s="209" t="str">
        <f>VLOOKUP($C17,'4. ERP-BANG LUONG v2'!$D:$EG,131,0)</f>
        <v>Nguyễn Văn D</v>
      </c>
      <c r="G17" s="209" t="str">
        <f>VLOOKUP($C17,'4. ERP-BANG LUONG v2'!$D:$EG,130,0)</f>
        <v>TPB004</v>
      </c>
      <c r="H17" s="209" t="str">
        <f>VLOOKUP($C17,'4. ERP-BANG LUONG v2'!$D:$EG,132,0)</f>
        <v>KHB</v>
      </c>
      <c r="I17" s="192">
        <f>VLOOKUP($C17,'4. ERP-BANG LUONG v2'!$D:$EG,113,0)</f>
        <v>92116000</v>
      </c>
      <c r="J17" s="210" t="str">
        <f t="shared" si="0"/>
        <v>NVO ADSHN thanh toan lg T7 - Nguyễn Văn D</v>
      </c>
      <c r="K17" s="193">
        <f>VLOOKUP($C17,'4. ERP-BANG LUONG v2'!$D:$EG,127,0)</f>
        <v>0</v>
      </c>
      <c r="L17" s="193" t="str">
        <f>VLOOKUP($C17,'4. ERP-BANG LUONG v2'!$D:$EG,9,0)</f>
        <v>dnv@novaon.vn</v>
      </c>
    </row>
    <row r="18" spans="1:12" x14ac:dyDescent="0.25">
      <c r="A18" s="194">
        <v>5</v>
      </c>
      <c r="B18" s="191" t="s">
        <v>83</v>
      </c>
      <c r="C18" s="191" t="s">
        <v>99</v>
      </c>
      <c r="D18" s="209" t="str">
        <f>VLOOKUP($C18,'4. ERP-BANG LUONG v2'!$D:$EG,2,0)</f>
        <v>BD02 HN</v>
      </c>
      <c r="E18" s="209" t="str">
        <f>VLOOKUP($C18,'4. ERP-BANG LUONG v2'!$D:$EG,129,0)</f>
        <v>2. TPB</v>
      </c>
      <c r="F18" s="209" t="str">
        <f>VLOOKUP($C18,'4. ERP-BANG LUONG v2'!$D:$EG,131,0)</f>
        <v>Nguyễn Văn E</v>
      </c>
      <c r="G18" s="209" t="str">
        <f>VLOOKUP($C18,'4. ERP-BANG LUONG v2'!$D:$EG,130,0)</f>
        <v>TPB005</v>
      </c>
      <c r="H18" s="209" t="str">
        <f>VLOOKUP($C18,'4. ERP-BANG LUONG v2'!$D:$EG,132,0)</f>
        <v>KHB</v>
      </c>
      <c r="I18" s="192">
        <f>VLOOKUP($C18,'4. ERP-BANG LUONG v2'!$D:$EG,113,0)</f>
        <v>104606130.86419754</v>
      </c>
      <c r="J18" s="210" t="str">
        <f t="shared" si="0"/>
        <v>NVO ADSHN thanh toan lg T7 - Nguyễn Văn E</v>
      </c>
      <c r="K18" s="193">
        <f>VLOOKUP($C18,'4. ERP-BANG LUONG v2'!$D:$EG,127,0)</f>
        <v>0</v>
      </c>
      <c r="L18" s="193" t="str">
        <f>VLOOKUP($C18,'4. ERP-BANG LUONG v2'!$D:$EG,9,0)</f>
        <v>env@novaon.vn</v>
      </c>
    </row>
    <row r="19" spans="1:12" x14ac:dyDescent="0.25">
      <c r="A19" s="191">
        <v>6</v>
      </c>
      <c r="B19" s="191" t="s">
        <v>83</v>
      </c>
      <c r="C19" s="191" t="s">
        <v>103</v>
      </c>
      <c r="D19" s="209" t="str">
        <f>VLOOKUP($C19,'4. ERP-BANG LUONG v2'!$D:$EG,2,0)</f>
        <v>HR HN</v>
      </c>
      <c r="E19" s="209" t="str">
        <f>VLOOKUP($C19,'4. ERP-BANG LUONG v2'!$D:$EG,129,0)</f>
        <v>2. TPB</v>
      </c>
      <c r="F19" s="209" t="str">
        <f>VLOOKUP($C19,'4. ERP-BANG LUONG v2'!$D:$EG,131,0)</f>
        <v>Nguyễn Văn I</v>
      </c>
      <c r="G19" s="209" t="str">
        <f>VLOOKUP($C19,'4. ERP-BANG LUONG v2'!$D:$EG,130,0)</f>
        <v>TPB009</v>
      </c>
      <c r="H19" s="209" t="str">
        <f>VLOOKUP($C19,'4. ERP-BANG LUONG v2'!$D:$EG,132,0)</f>
        <v>KHB</v>
      </c>
      <c r="I19" s="192">
        <f>VLOOKUP($C19,'4. ERP-BANG LUONG v2'!$D:$EG,113,0)</f>
        <v>135510250</v>
      </c>
      <c r="J19" s="210" t="str">
        <f t="shared" si="0"/>
        <v>NVO ADSHN thanh toan lg T7 - Nguyễn Văn I</v>
      </c>
      <c r="K19" s="193">
        <f>VLOOKUP($C19,'4. ERP-BANG LUONG v2'!$D:$EG,127,0)</f>
        <v>0</v>
      </c>
      <c r="L19" s="193" t="str">
        <f>VLOOKUP($C19,'4. ERP-BANG LUONG v2'!$D:$EG,9,0)</f>
        <v>inv@novaon.vn</v>
      </c>
    </row>
    <row r="20" spans="1:12" x14ac:dyDescent="0.25">
      <c r="A20" s="191">
        <v>7</v>
      </c>
      <c r="B20" s="191" t="s">
        <v>83</v>
      </c>
      <c r="C20" s="191" t="s">
        <v>104</v>
      </c>
      <c r="D20" s="209" t="str">
        <f>VLOOKUP($C20,'4. ERP-BANG LUONG v2'!$D:$EG,2,0)</f>
        <v>HR HN</v>
      </c>
      <c r="E20" s="209" t="str">
        <f>VLOOKUP($C20,'4. ERP-BANG LUONG v2'!$D:$EG,129,0)</f>
        <v>2. TPB</v>
      </c>
      <c r="F20" s="209" t="str">
        <f>VLOOKUP($C20,'4. ERP-BANG LUONG v2'!$D:$EG,131,0)</f>
        <v>Nguyễn Văn K</v>
      </c>
      <c r="G20" s="209" t="str">
        <f>VLOOKUP($C20,'4. ERP-BANG LUONG v2'!$D:$EG,130,0)</f>
        <v>TPB010</v>
      </c>
      <c r="H20" s="209" t="str">
        <f>VLOOKUP($C20,'4. ERP-BANG LUONG v2'!$D:$EG,132,0)</f>
        <v>KHB</v>
      </c>
      <c r="I20" s="192">
        <f>VLOOKUP($C20,'4. ERP-BANG LUONG v2'!$D:$EG,113,0)</f>
        <v>144702500</v>
      </c>
      <c r="J20" s="210" t="str">
        <f t="shared" si="0"/>
        <v>NVO ADSHN thanh toan lg T7 - Nguyễn Văn K</v>
      </c>
      <c r="K20" s="193">
        <f>VLOOKUP($C20,'4. ERP-BANG LUONG v2'!$D:$EG,127,0)</f>
        <v>0</v>
      </c>
      <c r="L20" s="193" t="str">
        <f>VLOOKUP($C20,'4. ERP-BANG LUONG v2'!$D:$EG,9,0)</f>
        <v>knv@novaon.vn</v>
      </c>
    </row>
    <row r="21" spans="1:12" x14ac:dyDescent="0.25">
      <c r="A21" s="195" t="s">
        <v>351</v>
      </c>
      <c r="B21" s="195" t="s">
        <v>351</v>
      </c>
      <c r="C21" s="195" t="s">
        <v>351</v>
      </c>
      <c r="D21" s="195" t="s">
        <v>351</v>
      </c>
      <c r="E21" s="195" t="s">
        <v>351</v>
      </c>
      <c r="F21" s="196" t="s">
        <v>351</v>
      </c>
      <c r="G21" s="195" t="s">
        <v>351</v>
      </c>
      <c r="H21" s="195"/>
      <c r="I21" s="195"/>
      <c r="J21" s="197"/>
      <c r="K21" s="195" t="s">
        <v>351</v>
      </c>
      <c r="L21" s="195"/>
    </row>
    <row r="22" spans="1:12" x14ac:dyDescent="0.25">
      <c r="A22" s="198"/>
      <c r="B22" s="198"/>
      <c r="C22" s="199"/>
      <c r="D22" s="199"/>
      <c r="E22" s="199"/>
      <c r="F22" s="196"/>
      <c r="G22" s="198"/>
      <c r="H22" s="198"/>
      <c r="I22" s="200"/>
      <c r="J22" s="200"/>
      <c r="K22" s="198"/>
      <c r="L22" s="198"/>
    </row>
    <row r="23" spans="1:12" x14ac:dyDescent="0.25">
      <c r="A23" s="201"/>
      <c r="B23" s="201"/>
      <c r="C23" s="201"/>
      <c r="D23" s="202" t="s">
        <v>360</v>
      </c>
      <c r="E23" s="202"/>
      <c r="F23" s="203"/>
      <c r="G23" s="204" t="s">
        <v>361</v>
      </c>
      <c r="H23" s="204"/>
      <c r="I23" s="205"/>
      <c r="J23" s="205" t="s">
        <v>362</v>
      </c>
      <c r="K23" s="201"/>
      <c r="L23" s="201"/>
    </row>
    <row r="24" spans="1:12" x14ac:dyDescent="0.25">
      <c r="A24" s="195"/>
      <c r="B24" s="195"/>
      <c r="C24" s="195"/>
      <c r="D24" s="206" t="s">
        <v>363</v>
      </c>
      <c r="E24" s="206"/>
      <c r="F24" s="196"/>
      <c r="G24" s="195" t="s">
        <v>364</v>
      </c>
      <c r="H24" s="195"/>
      <c r="I24" s="207"/>
      <c r="J24" s="207" t="s">
        <v>365</v>
      </c>
      <c r="K24" s="195"/>
      <c r="L24" s="195"/>
    </row>
    <row r="25" spans="1:12" x14ac:dyDescent="0.25">
      <c r="A25" s="198"/>
      <c r="B25" s="198"/>
      <c r="C25" s="199"/>
      <c r="D25" s="199"/>
      <c r="E25" s="199"/>
      <c r="F25" s="196"/>
      <c r="G25" s="198"/>
      <c r="H25" s="198"/>
      <c r="I25" s="200"/>
      <c r="J25" s="200"/>
      <c r="K25" s="198"/>
      <c r="L25" s="198"/>
    </row>
    <row r="26" spans="1:12" x14ac:dyDescent="0.25">
      <c r="A26" s="198"/>
      <c r="B26" s="198"/>
      <c r="C26" s="199"/>
      <c r="D26" s="199"/>
      <c r="E26" s="199"/>
      <c r="F26" s="196"/>
      <c r="G26" s="198"/>
      <c r="H26" s="198"/>
      <c r="I26" s="200"/>
      <c r="J26" s="200"/>
      <c r="K26" s="198"/>
      <c r="L26" s="198"/>
    </row>
    <row r="27" spans="1:12" x14ac:dyDescent="0.25">
      <c r="A27" s="198"/>
      <c r="B27" s="198"/>
      <c r="C27" s="199"/>
      <c r="D27" s="199"/>
      <c r="E27" s="199"/>
      <c r="F27" s="196"/>
      <c r="G27" s="195" t="s">
        <v>366</v>
      </c>
      <c r="H27" s="195"/>
      <c r="I27" s="200"/>
      <c r="J27" s="200" t="s">
        <v>367</v>
      </c>
      <c r="K27" s="198"/>
      <c r="L27" s="198"/>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55"/>
  <sheetViews>
    <sheetView zoomScale="85" zoomScaleNormal="85" workbookViewId="0">
      <selection activeCell="AS42" sqref="AS42:AT42"/>
    </sheetView>
  </sheetViews>
  <sheetFormatPr defaultRowHeight="12.75" x14ac:dyDescent="0.2"/>
  <cols>
    <col min="1" max="2" width="9.140625" style="218"/>
    <col min="3" max="3" width="10" style="218" customWidth="1"/>
    <col min="4" max="4" width="9.140625" style="218"/>
    <col min="5" max="5" width="11.85546875" style="218" customWidth="1"/>
    <col min="6" max="7" width="15.7109375" style="218" customWidth="1"/>
    <col min="8" max="8" width="16.85546875" style="218" customWidth="1"/>
    <col min="9" max="10" width="6" style="218" customWidth="1"/>
    <col min="11" max="11" width="7.85546875" style="218" customWidth="1"/>
    <col min="12" max="13" width="6" style="218" customWidth="1"/>
    <col min="14" max="14" width="7.85546875" style="218" customWidth="1"/>
    <col min="15" max="16" width="6" style="218" customWidth="1"/>
    <col min="17" max="17" width="7.85546875" style="218" customWidth="1"/>
    <col min="18" max="19" width="6" style="218" customWidth="1"/>
    <col min="20" max="20" width="7.85546875" style="218" customWidth="1"/>
    <col min="21" max="22" width="6" style="218" customWidth="1"/>
    <col min="23" max="23" width="7.85546875" style="218" customWidth="1"/>
    <col min="24" max="25" width="6" style="218" customWidth="1"/>
    <col min="26" max="26" width="7.85546875" style="218" customWidth="1"/>
    <col min="27" max="28" width="16.140625" style="234" customWidth="1"/>
    <col min="29" max="29" width="7.85546875" style="234" customWidth="1"/>
    <col min="30" max="31" width="6" style="218" customWidth="1"/>
    <col min="32" max="32" width="7.85546875" style="218" customWidth="1"/>
    <col min="33" max="34" width="6" style="218" customWidth="1"/>
    <col min="35" max="35" width="7.85546875" style="218" customWidth="1"/>
    <col min="36" max="37" width="6" style="218" customWidth="1"/>
    <col min="38" max="38" width="7.85546875" style="218" customWidth="1"/>
    <col min="39" max="40" width="6" style="218" customWidth="1"/>
    <col min="41" max="41" width="7.85546875" style="218" customWidth="1"/>
    <col min="42" max="43" width="6" style="218" customWidth="1"/>
    <col min="44" max="44" width="7.85546875" style="218" customWidth="1"/>
    <col min="45" max="46" width="14.42578125" style="218" customWidth="1"/>
    <col min="47" max="47" width="8" style="218" customWidth="1"/>
    <col min="48" max="16384" width="9.140625" style="218"/>
  </cols>
  <sheetData>
    <row r="1" spans="1:47" x14ac:dyDescent="0.2">
      <c r="A1" s="244" t="s">
        <v>400</v>
      </c>
    </row>
    <row r="2" spans="1:47" x14ac:dyDescent="0.2">
      <c r="A2" s="233" t="s">
        <v>378</v>
      </c>
    </row>
    <row r="3" spans="1:47" s="243" customFormat="1" x14ac:dyDescent="0.2">
      <c r="A3" s="246"/>
      <c r="B3" s="247"/>
      <c r="C3" s="247"/>
      <c r="D3" s="247"/>
      <c r="E3" s="247"/>
      <c r="F3" s="247"/>
      <c r="G3" s="247"/>
      <c r="H3" s="247"/>
      <c r="I3" s="383" t="s">
        <v>380</v>
      </c>
      <c r="J3" s="383"/>
      <c r="K3" s="241"/>
      <c r="L3" s="383" t="s">
        <v>381</v>
      </c>
      <c r="M3" s="383"/>
      <c r="N3" s="241"/>
      <c r="O3" s="383" t="s">
        <v>382</v>
      </c>
      <c r="P3" s="383"/>
      <c r="Q3" s="241"/>
      <c r="R3" s="383" t="s">
        <v>383</v>
      </c>
      <c r="S3" s="383"/>
      <c r="T3" s="241"/>
      <c r="U3" s="383" t="s">
        <v>384</v>
      </c>
      <c r="V3" s="383"/>
      <c r="W3" s="241"/>
      <c r="X3" s="383" t="s">
        <v>385</v>
      </c>
      <c r="Y3" s="383"/>
      <c r="Z3" s="241"/>
      <c r="AA3" s="384" t="s">
        <v>386</v>
      </c>
      <c r="AB3" s="384"/>
      <c r="AC3" s="242"/>
      <c r="AD3" s="383" t="s">
        <v>387</v>
      </c>
      <c r="AE3" s="383"/>
      <c r="AF3" s="241"/>
      <c r="AG3" s="383" t="s">
        <v>388</v>
      </c>
      <c r="AH3" s="383"/>
      <c r="AI3" s="241"/>
      <c r="AJ3" s="383" t="s">
        <v>389</v>
      </c>
      <c r="AK3" s="383"/>
      <c r="AL3" s="241"/>
      <c r="AM3" s="383" t="s">
        <v>390</v>
      </c>
      <c r="AN3" s="383"/>
      <c r="AO3" s="241"/>
      <c r="AP3" s="383" t="s">
        <v>391</v>
      </c>
      <c r="AQ3" s="383"/>
      <c r="AR3" s="241"/>
      <c r="AS3" s="383" t="s">
        <v>397</v>
      </c>
      <c r="AT3" s="383"/>
      <c r="AU3" s="241"/>
    </row>
    <row r="4" spans="1:47" s="248" customFormat="1" ht="25.5" x14ac:dyDescent="0.2">
      <c r="A4" s="241" t="s">
        <v>44</v>
      </c>
      <c r="B4" s="241" t="s">
        <v>249</v>
      </c>
      <c r="C4" s="241" t="s">
        <v>82</v>
      </c>
      <c r="D4" s="241" t="s">
        <v>2</v>
      </c>
      <c r="E4" s="241" t="s">
        <v>45</v>
      </c>
      <c r="F4" s="241" t="s">
        <v>86</v>
      </c>
      <c r="G4" s="241" t="s">
        <v>402</v>
      </c>
      <c r="H4" s="241" t="s">
        <v>401</v>
      </c>
      <c r="I4" s="241" t="s">
        <v>328</v>
      </c>
      <c r="J4" s="241" t="s">
        <v>379</v>
      </c>
      <c r="K4" s="241"/>
      <c r="L4" s="241" t="s">
        <v>328</v>
      </c>
      <c r="M4" s="241" t="s">
        <v>379</v>
      </c>
      <c r="N4" s="241"/>
      <c r="O4" s="241" t="s">
        <v>328</v>
      </c>
      <c r="P4" s="241" t="s">
        <v>379</v>
      </c>
      <c r="Q4" s="241"/>
      <c r="R4" s="241" t="s">
        <v>328</v>
      </c>
      <c r="S4" s="241" t="s">
        <v>379</v>
      </c>
      <c r="T4" s="241"/>
      <c r="U4" s="241" t="s">
        <v>328</v>
      </c>
      <c r="V4" s="241" t="s">
        <v>379</v>
      </c>
      <c r="W4" s="241"/>
      <c r="X4" s="241" t="s">
        <v>328</v>
      </c>
      <c r="Y4" s="241" t="s">
        <v>379</v>
      </c>
      <c r="Z4" s="241"/>
      <c r="AA4" s="242" t="s">
        <v>328</v>
      </c>
      <c r="AB4" s="242" t="s">
        <v>379</v>
      </c>
      <c r="AC4" s="242"/>
      <c r="AD4" s="241" t="s">
        <v>328</v>
      </c>
      <c r="AE4" s="241" t="s">
        <v>379</v>
      </c>
      <c r="AF4" s="241"/>
      <c r="AG4" s="241" t="s">
        <v>328</v>
      </c>
      <c r="AH4" s="241" t="s">
        <v>379</v>
      </c>
      <c r="AI4" s="241"/>
      <c r="AJ4" s="241" t="s">
        <v>328</v>
      </c>
      <c r="AK4" s="241" t="s">
        <v>379</v>
      </c>
      <c r="AL4" s="241"/>
      <c r="AM4" s="241" t="s">
        <v>328</v>
      </c>
      <c r="AN4" s="241" t="s">
        <v>379</v>
      </c>
      <c r="AO4" s="241"/>
      <c r="AP4" s="241" t="s">
        <v>328</v>
      </c>
      <c r="AQ4" s="241" t="s">
        <v>379</v>
      </c>
      <c r="AR4" s="241"/>
      <c r="AS4" s="241" t="s">
        <v>328</v>
      </c>
      <c r="AT4" s="241" t="s">
        <v>379</v>
      </c>
      <c r="AU4" s="241"/>
    </row>
    <row r="5" spans="1:47" s="233" customFormat="1" x14ac:dyDescent="0.2">
      <c r="A5" s="236">
        <v>1</v>
      </c>
      <c r="B5" s="237" t="s">
        <v>302</v>
      </c>
      <c r="C5" s="237" t="s">
        <v>83</v>
      </c>
      <c r="D5" s="237" t="s">
        <v>392</v>
      </c>
      <c r="E5" s="237"/>
      <c r="F5" s="237"/>
      <c r="G5" s="237"/>
      <c r="H5" s="237"/>
      <c r="I5" s="237"/>
      <c r="J5" s="237"/>
      <c r="K5" s="237"/>
      <c r="L5" s="237"/>
      <c r="M5" s="237"/>
      <c r="N5" s="237"/>
      <c r="O5" s="237"/>
      <c r="P5" s="237"/>
      <c r="Q5" s="237"/>
      <c r="R5" s="237"/>
      <c r="S5" s="237"/>
      <c r="T5" s="237"/>
      <c r="U5" s="237"/>
      <c r="V5" s="237"/>
      <c r="W5" s="237"/>
      <c r="X5" s="237"/>
      <c r="Y5" s="237"/>
      <c r="Z5" s="237"/>
      <c r="AA5" s="238">
        <f>SUMIF('4. ERP-BANG LUONG'!E:E,D5,'4. ERP-BANG LUONG'!AH:AH)-SUMIF('4. ERP-BANG LUONG'!E:E,D5,'4. ERP-BANG LUONG'!AG:AG)</f>
        <v>142836009.87654319</v>
      </c>
      <c r="AB5" s="238" t="s">
        <v>396</v>
      </c>
      <c r="AC5" s="238"/>
      <c r="AD5" s="237"/>
      <c r="AE5" s="237"/>
      <c r="AF5" s="237"/>
      <c r="AG5" s="237"/>
      <c r="AH5" s="237"/>
      <c r="AI5" s="237"/>
      <c r="AJ5" s="237"/>
      <c r="AK5" s="237"/>
      <c r="AL5" s="237"/>
      <c r="AM5" s="237"/>
      <c r="AN5" s="237"/>
      <c r="AO5" s="237"/>
      <c r="AP5" s="237"/>
      <c r="AQ5" s="237"/>
      <c r="AR5" s="237"/>
      <c r="AS5" s="238">
        <f t="shared" ref="AS5:AS18" si="0">SUMIF($I$4:$AQ$4,"Thu nhập",$I5:$AQ5)</f>
        <v>142836009.87654319</v>
      </c>
      <c r="AT5" s="238">
        <f t="shared" ref="AT5:AT18" si="1">SUMIF($I$4:$AQ$4,"Margin",$I5:$AQ5)</f>
        <v>0</v>
      </c>
      <c r="AU5" s="238"/>
    </row>
    <row r="6" spans="1:47" x14ac:dyDescent="0.2">
      <c r="A6" s="235"/>
      <c r="B6" s="218" t="s">
        <v>302</v>
      </c>
      <c r="C6" s="218" t="s">
        <v>83</v>
      </c>
      <c r="D6" s="218" t="s">
        <v>392</v>
      </c>
      <c r="E6" s="218" t="s">
        <v>95</v>
      </c>
      <c r="F6" s="218" t="s">
        <v>105</v>
      </c>
      <c r="G6" s="218" t="str">
        <f>VLOOKUP(E6,'1.2 HR-Data luong'!B:H,6,0)</f>
        <v>Trưởng phòng</v>
      </c>
      <c r="H6" s="218" t="str">
        <f>VLOOKUP(E6,'1.2 HR-Data luong'!B:H,7,0)</f>
        <v>TP C1</v>
      </c>
      <c r="AA6" s="234">
        <f>SUMIF('4. ERP-BANG LUONG'!D:D,E6,'4. ERP-BANG LUONG'!AH:AH)-SUMIF('4. ERP-BANG LUONG'!D:D,E6,'4. ERP-BANG LUONG'!AG:AG)</f>
        <v>68032898.76543209</v>
      </c>
      <c r="AB6" s="234" t="s">
        <v>396</v>
      </c>
      <c r="AS6" s="234">
        <f t="shared" si="0"/>
        <v>68032898.76543209</v>
      </c>
      <c r="AT6" s="234">
        <f t="shared" si="1"/>
        <v>0</v>
      </c>
      <c r="AU6" s="234"/>
    </row>
    <row r="7" spans="1:47" x14ac:dyDescent="0.2">
      <c r="A7" s="235"/>
      <c r="B7" s="218" t="s">
        <v>302</v>
      </c>
      <c r="C7" s="218" t="s">
        <v>83</v>
      </c>
      <c r="D7" s="218" t="s">
        <v>392</v>
      </c>
      <c r="E7" s="218" t="s">
        <v>96</v>
      </c>
      <c r="F7" s="218" t="s">
        <v>106</v>
      </c>
      <c r="G7" s="218" t="str">
        <f>VLOOKUP(E7,'1.2 HR-Data luong'!B:H,6,0)</f>
        <v>Nhân viên</v>
      </c>
      <c r="H7" s="218" t="str">
        <f>VLOOKUP(E7,'1.2 HR-Data luong'!B:H,7,0)</f>
        <v>C1</v>
      </c>
      <c r="AA7" s="234">
        <f>SUMIF('4. ERP-BANG LUONG'!D:D,E7,'4. ERP-BANG LUONG'!AH:AH)-SUMIF('4. ERP-BANG LUONG'!D:D,E7,'4. ERP-BANG LUONG'!AG:AG)</f>
        <v>74803111.111111104</v>
      </c>
      <c r="AB7" s="234" t="s">
        <v>396</v>
      </c>
      <c r="AS7" s="234">
        <f t="shared" si="0"/>
        <v>74803111.111111104</v>
      </c>
      <c r="AT7" s="234">
        <f t="shared" si="1"/>
        <v>0</v>
      </c>
      <c r="AU7" s="234"/>
    </row>
    <row r="8" spans="1:47" s="233" customFormat="1" x14ac:dyDescent="0.2">
      <c r="A8" s="236">
        <v>2</v>
      </c>
      <c r="B8" s="237" t="s">
        <v>302</v>
      </c>
      <c r="C8" s="237" t="s">
        <v>83</v>
      </c>
      <c r="D8" s="237" t="s">
        <v>393</v>
      </c>
      <c r="E8" s="237"/>
      <c r="F8" s="237"/>
      <c r="G8" s="237"/>
      <c r="H8" s="237"/>
      <c r="I8" s="237"/>
      <c r="J8" s="237"/>
      <c r="K8" s="237"/>
      <c r="L8" s="237"/>
      <c r="M8" s="237"/>
      <c r="N8" s="237"/>
      <c r="O8" s="237"/>
      <c r="P8" s="237"/>
      <c r="Q8" s="237"/>
      <c r="R8" s="237"/>
      <c r="S8" s="237"/>
      <c r="T8" s="237"/>
      <c r="U8" s="237"/>
      <c r="V8" s="237"/>
      <c r="W8" s="237"/>
      <c r="X8" s="237"/>
      <c r="Y8" s="237"/>
      <c r="Z8" s="237"/>
      <c r="AA8" s="238">
        <f>SUMIF('4. ERP-BANG LUONG'!E:E,D8,'4. ERP-BANG LUONG'!AH:AH)-SUMIF('4. ERP-BANG LUONG'!E:E,D8,'4. ERP-BANG LUONG'!AG:AG)</f>
        <v>302337012.34567904</v>
      </c>
      <c r="AB8" s="238" t="s">
        <v>396</v>
      </c>
      <c r="AC8" s="238"/>
      <c r="AD8" s="237"/>
      <c r="AE8" s="237"/>
      <c r="AF8" s="237"/>
      <c r="AG8" s="237"/>
      <c r="AH8" s="237"/>
      <c r="AI8" s="237"/>
      <c r="AJ8" s="237"/>
      <c r="AK8" s="237"/>
      <c r="AL8" s="237"/>
      <c r="AM8" s="237"/>
      <c r="AN8" s="237"/>
      <c r="AO8" s="237"/>
      <c r="AP8" s="237"/>
      <c r="AQ8" s="237"/>
      <c r="AR8" s="237"/>
      <c r="AS8" s="238">
        <f t="shared" si="0"/>
        <v>302337012.34567904</v>
      </c>
      <c r="AT8" s="238">
        <f t="shared" si="1"/>
        <v>0</v>
      </c>
      <c r="AU8" s="238"/>
    </row>
    <row r="9" spans="1:47" x14ac:dyDescent="0.2">
      <c r="A9" s="235"/>
      <c r="B9" s="218" t="s">
        <v>302</v>
      </c>
      <c r="C9" s="218" t="s">
        <v>83</v>
      </c>
      <c r="D9" s="218" t="s">
        <v>393</v>
      </c>
      <c r="E9" s="218" t="s">
        <v>97</v>
      </c>
      <c r="F9" s="218" t="s">
        <v>108</v>
      </c>
      <c r="G9" s="218" t="str">
        <f>VLOOKUP(E9,'1.2 HR-Data luong'!B:H,6,0)</f>
        <v>Trưởng phòng</v>
      </c>
      <c r="H9" s="218" t="str">
        <f>VLOOKUP(E9,'1.2 HR-Data luong'!B:H,7,0)</f>
        <v>TP C2</v>
      </c>
      <c r="AA9" s="234">
        <f>SUMIF('4. ERP-BANG LUONG'!D:D,E9,'4. ERP-BANG LUONG'!AH:AH)-SUMIF('4. ERP-BANG LUONG'!D:D,E9,'4. ERP-BANG LUONG'!AG:AG)</f>
        <v>86948666.666666657</v>
      </c>
      <c r="AB9" s="234" t="s">
        <v>396</v>
      </c>
      <c r="AS9" s="234">
        <f t="shared" si="0"/>
        <v>86948666.666666657</v>
      </c>
      <c r="AT9" s="234">
        <f t="shared" si="1"/>
        <v>0</v>
      </c>
      <c r="AU9" s="234"/>
    </row>
    <row r="10" spans="1:47" x14ac:dyDescent="0.2">
      <c r="A10" s="235"/>
      <c r="B10" s="218" t="s">
        <v>302</v>
      </c>
      <c r="C10" s="218" t="s">
        <v>83</v>
      </c>
      <c r="D10" s="218" t="s">
        <v>393</v>
      </c>
      <c r="E10" s="218" t="s">
        <v>98</v>
      </c>
      <c r="F10" s="218" t="s">
        <v>109</v>
      </c>
      <c r="G10" s="218" t="str">
        <f>VLOOKUP(E10,'1.2 HR-Data luong'!B:H,6,0)</f>
        <v>Nhân viên</v>
      </c>
      <c r="H10" s="218" t="str">
        <f>VLOOKUP(E10,'1.2 HR-Data luong'!B:H,7,0)</f>
        <v>C2</v>
      </c>
      <c r="AA10" s="234">
        <f>SUMIF('4. ERP-BANG LUONG'!D:D,E10,'4. ERP-BANG LUONG'!AH:AH)-SUMIF('4. ERP-BANG LUONG'!D:D,E10,'4. ERP-BANG LUONG'!AG:AG)</f>
        <v>99112444.444444448</v>
      </c>
      <c r="AB10" s="234" t="s">
        <v>396</v>
      </c>
      <c r="AS10" s="234">
        <f t="shared" si="0"/>
        <v>99112444.444444448</v>
      </c>
      <c r="AT10" s="234">
        <f t="shared" si="1"/>
        <v>0</v>
      </c>
      <c r="AU10" s="234"/>
    </row>
    <row r="11" spans="1:47" x14ac:dyDescent="0.2">
      <c r="A11" s="235"/>
      <c r="B11" s="218" t="s">
        <v>302</v>
      </c>
      <c r="C11" s="218" t="s">
        <v>83</v>
      </c>
      <c r="D11" s="218" t="s">
        <v>393</v>
      </c>
      <c r="E11" s="218" t="s">
        <v>99</v>
      </c>
      <c r="F11" s="218" t="s">
        <v>110</v>
      </c>
      <c r="G11" s="218" t="str">
        <f>VLOOKUP(E11,'1.2 HR-Data luong'!B:H,6,0)</f>
        <v>Nhân viên</v>
      </c>
      <c r="H11" s="218" t="str">
        <f>VLOOKUP(E11,'1.2 HR-Data luong'!B:H,7,0)</f>
        <v>C3</v>
      </c>
      <c r="AA11" s="234">
        <f>SUMIF('4. ERP-BANG LUONG'!D:D,E11,'4. ERP-BANG LUONG'!AH:AH)-SUMIF('4. ERP-BANG LUONG'!D:D,E11,'4. ERP-BANG LUONG'!AG:AG)</f>
        <v>116275901.23456791</v>
      </c>
      <c r="AB11" s="234" t="s">
        <v>396</v>
      </c>
      <c r="AS11" s="234">
        <f t="shared" si="0"/>
        <v>116275901.23456791</v>
      </c>
      <c r="AT11" s="234">
        <f t="shared" si="1"/>
        <v>0</v>
      </c>
      <c r="AU11" s="234"/>
    </row>
    <row r="12" spans="1:47" s="233" customFormat="1" x14ac:dyDescent="0.2">
      <c r="A12" s="236">
        <v>3</v>
      </c>
      <c r="B12" s="237" t="s">
        <v>302</v>
      </c>
      <c r="C12" s="237" t="s">
        <v>43</v>
      </c>
      <c r="D12" s="237" t="s">
        <v>395</v>
      </c>
      <c r="E12" s="237"/>
      <c r="F12" s="237"/>
      <c r="G12" s="237"/>
      <c r="H12" s="237"/>
      <c r="I12" s="237"/>
      <c r="J12" s="237"/>
      <c r="K12" s="237"/>
      <c r="L12" s="237"/>
      <c r="M12" s="237"/>
      <c r="N12" s="237"/>
      <c r="O12" s="237"/>
      <c r="P12" s="237"/>
      <c r="Q12" s="237"/>
      <c r="R12" s="237"/>
      <c r="S12" s="237"/>
      <c r="T12" s="237"/>
      <c r="U12" s="237"/>
      <c r="V12" s="237"/>
      <c r="W12" s="237"/>
      <c r="X12" s="237"/>
      <c r="Y12" s="237"/>
      <c r="Z12" s="237"/>
      <c r="AA12" s="238">
        <f>SUMIF('4. ERP-BANG LUONG'!E:E,D12,'4. ERP-BANG LUONG'!AH:AH)-SUMIF('4. ERP-BANG LUONG'!E:E,D12,'4. ERP-BANG LUONG'!AG:AG)</f>
        <v>408936666.66666669</v>
      </c>
      <c r="AB12" s="238" t="s">
        <v>396</v>
      </c>
      <c r="AC12" s="238"/>
      <c r="AD12" s="237"/>
      <c r="AE12" s="237"/>
      <c r="AF12" s="237"/>
      <c r="AG12" s="237"/>
      <c r="AH12" s="237"/>
      <c r="AI12" s="237"/>
      <c r="AJ12" s="237"/>
      <c r="AK12" s="237"/>
      <c r="AL12" s="237"/>
      <c r="AM12" s="237"/>
      <c r="AN12" s="237"/>
      <c r="AO12" s="237"/>
      <c r="AP12" s="237"/>
      <c r="AQ12" s="237"/>
      <c r="AR12" s="237"/>
      <c r="AS12" s="238">
        <f t="shared" si="0"/>
        <v>408936666.66666669</v>
      </c>
      <c r="AT12" s="238">
        <f t="shared" si="1"/>
        <v>0</v>
      </c>
      <c r="AU12" s="238"/>
    </row>
    <row r="13" spans="1:47" x14ac:dyDescent="0.2">
      <c r="A13" s="235"/>
      <c r="B13" s="218" t="s">
        <v>302</v>
      </c>
      <c r="C13" s="218" t="s">
        <v>43</v>
      </c>
      <c r="D13" s="218" t="s">
        <v>395</v>
      </c>
      <c r="E13" s="218" t="s">
        <v>100</v>
      </c>
      <c r="F13" s="218" t="s">
        <v>111</v>
      </c>
      <c r="G13" s="218" t="str">
        <f>VLOOKUP(E13,'1.2 HR-Data luong'!B:H,6,0)</f>
        <v>Trưởng phòng</v>
      </c>
      <c r="H13" s="218" t="str">
        <f>VLOOKUP(E13,'1.2 HR-Data luong'!B:H,7,0)</f>
        <v>TP C3</v>
      </c>
      <c r="AA13" s="234">
        <f>SUMIF('4. ERP-BANG LUONG'!D:D,E13,'4. ERP-BANG LUONG'!AH:AH)-SUMIF('4. ERP-BANG LUONG'!D:D,E13,'4. ERP-BANG LUONG'!AG:AG)</f>
        <v>123660000</v>
      </c>
      <c r="AB13" s="234" t="s">
        <v>396</v>
      </c>
      <c r="AS13" s="234">
        <f t="shared" si="0"/>
        <v>123660000</v>
      </c>
      <c r="AT13" s="234">
        <f t="shared" si="1"/>
        <v>0</v>
      </c>
      <c r="AU13" s="234"/>
    </row>
    <row r="14" spans="1:47" x14ac:dyDescent="0.2">
      <c r="A14" s="235"/>
      <c r="B14" s="218" t="s">
        <v>302</v>
      </c>
      <c r="C14" s="218" t="s">
        <v>43</v>
      </c>
      <c r="D14" s="218" t="s">
        <v>395</v>
      </c>
      <c r="E14" s="218" t="s">
        <v>101</v>
      </c>
      <c r="F14" s="218" t="s">
        <v>112</v>
      </c>
      <c r="G14" s="218" t="str">
        <f>VLOOKUP(E14,'1.2 HR-Data luong'!B:H,6,0)</f>
        <v>Nhân viên</v>
      </c>
      <c r="H14" s="218" t="str">
        <f>VLOOKUP(E14,'1.2 HR-Data luong'!B:H,7,0)</f>
        <v>C4</v>
      </c>
      <c r="AA14" s="234">
        <f>SUMIF('4. ERP-BANG LUONG'!D:D,E14,'4. ERP-BANG LUONG'!AH:AH)-SUMIF('4. ERP-BANG LUONG'!D:D,E14,'4. ERP-BANG LUONG'!AG:AG)</f>
        <v>135890000</v>
      </c>
      <c r="AB14" s="234" t="s">
        <v>396</v>
      </c>
      <c r="AS14" s="234">
        <f t="shared" si="0"/>
        <v>135890000</v>
      </c>
      <c r="AT14" s="234">
        <f t="shared" si="1"/>
        <v>0</v>
      </c>
      <c r="AU14" s="234"/>
    </row>
    <row r="15" spans="1:47" x14ac:dyDescent="0.2">
      <c r="A15" s="235"/>
      <c r="B15" s="218" t="s">
        <v>302</v>
      </c>
      <c r="C15" s="218" t="s">
        <v>43</v>
      </c>
      <c r="D15" s="218" t="s">
        <v>395</v>
      </c>
      <c r="E15" s="218" t="s">
        <v>102</v>
      </c>
      <c r="F15" s="218" t="s">
        <v>107</v>
      </c>
      <c r="G15" s="218" t="str">
        <f>VLOOKUP(E15,'1.2 HR-Data luong'!B:H,6,0)</f>
        <v>Nhân viên</v>
      </c>
      <c r="H15" s="218" t="str">
        <f>VLOOKUP(E15,'1.2 HR-Data luong'!B:H,7,0)</f>
        <v>S1</v>
      </c>
      <c r="AA15" s="234">
        <f>SUMIF('4. ERP-BANG LUONG'!D:D,E15,'4. ERP-BANG LUONG'!AH:AH)-SUMIF('4. ERP-BANG LUONG'!D:D,E15,'4. ERP-BANG LUONG'!AG:AG)</f>
        <v>149386666.66666669</v>
      </c>
      <c r="AB15" s="234" t="s">
        <v>396</v>
      </c>
      <c r="AS15" s="234">
        <f t="shared" si="0"/>
        <v>149386666.66666669</v>
      </c>
      <c r="AT15" s="234">
        <f t="shared" si="1"/>
        <v>0</v>
      </c>
      <c r="AU15" s="234"/>
    </row>
    <row r="16" spans="1:47" s="233" customFormat="1" x14ac:dyDescent="0.2">
      <c r="A16" s="236">
        <v>4</v>
      </c>
      <c r="B16" s="237" t="s">
        <v>302</v>
      </c>
      <c r="C16" s="237" t="s">
        <v>83</v>
      </c>
      <c r="D16" s="237" t="s">
        <v>394</v>
      </c>
      <c r="E16" s="237"/>
      <c r="F16" s="237"/>
      <c r="G16" s="237"/>
      <c r="H16" s="237"/>
      <c r="I16" s="237"/>
      <c r="J16" s="237"/>
      <c r="K16" s="237"/>
      <c r="L16" s="237"/>
      <c r="M16" s="237"/>
      <c r="N16" s="237"/>
      <c r="O16" s="237"/>
      <c r="P16" s="237"/>
      <c r="Q16" s="237"/>
      <c r="R16" s="237"/>
      <c r="S16" s="237"/>
      <c r="T16" s="237"/>
      <c r="U16" s="237"/>
      <c r="V16" s="237"/>
      <c r="W16" s="237"/>
      <c r="X16" s="237"/>
      <c r="Y16" s="237"/>
      <c r="Z16" s="237"/>
      <c r="AA16" s="238">
        <f>SUMIF('4. ERP-BANG LUONG'!E:E,D16,'4. ERP-BANG LUONG'!AH:AH)-SUMIF('4. ERP-BANG LUONG'!E:E,D16,'4. ERP-BANG LUONG'!AG:AG)</f>
        <v>333110000</v>
      </c>
      <c r="AB16" s="238" t="s">
        <v>396</v>
      </c>
      <c r="AC16" s="238"/>
      <c r="AD16" s="237"/>
      <c r="AE16" s="237"/>
      <c r="AF16" s="237"/>
      <c r="AG16" s="237"/>
      <c r="AH16" s="237"/>
      <c r="AI16" s="237"/>
      <c r="AJ16" s="237"/>
      <c r="AK16" s="237"/>
      <c r="AL16" s="237"/>
      <c r="AM16" s="237"/>
      <c r="AN16" s="237"/>
      <c r="AO16" s="237"/>
      <c r="AP16" s="237"/>
      <c r="AQ16" s="237"/>
      <c r="AR16" s="237"/>
      <c r="AS16" s="238">
        <f t="shared" si="0"/>
        <v>333110000</v>
      </c>
      <c r="AT16" s="238">
        <f t="shared" si="1"/>
        <v>0</v>
      </c>
      <c r="AU16" s="238"/>
    </row>
    <row r="17" spans="1:47" x14ac:dyDescent="0.2">
      <c r="B17" s="218" t="s">
        <v>302</v>
      </c>
      <c r="C17" s="218" t="s">
        <v>83</v>
      </c>
      <c r="D17" s="218" t="s">
        <v>394</v>
      </c>
      <c r="E17" s="218" t="s">
        <v>103</v>
      </c>
      <c r="F17" s="218" t="s">
        <v>113</v>
      </c>
      <c r="G17" s="218" t="str">
        <f>VLOOKUP(E17,'1.2 HR-Data luong'!B:H,6,0)</f>
        <v>Trưởng phòng</v>
      </c>
      <c r="H17" s="218" t="str">
        <f>VLOOKUP(E17,'1.2 HR-Data luong'!B:H,7,0)</f>
        <v>TP KPC</v>
      </c>
      <c r="AA17" s="234">
        <f>SUMIF('4. ERP-BANG LUONG'!D:D,E17,'4. ERP-BANG LUONG'!AH:AH)-SUMIF('4. ERP-BANG LUONG'!D:D,E17,'4. ERP-BANG LUONG'!AG:AG)</f>
        <v>160410000</v>
      </c>
      <c r="AB17" s="234" t="s">
        <v>396</v>
      </c>
      <c r="AS17" s="234">
        <f t="shared" si="0"/>
        <v>160410000</v>
      </c>
      <c r="AT17" s="234">
        <f t="shared" si="1"/>
        <v>0</v>
      </c>
      <c r="AU17" s="234"/>
    </row>
    <row r="18" spans="1:47" x14ac:dyDescent="0.2">
      <c r="B18" s="218" t="s">
        <v>302</v>
      </c>
      <c r="C18" s="218" t="s">
        <v>83</v>
      </c>
      <c r="D18" s="218" t="s">
        <v>394</v>
      </c>
      <c r="E18" s="218" t="s">
        <v>104</v>
      </c>
      <c r="F18" s="218" t="s">
        <v>114</v>
      </c>
      <c r="G18" s="218" t="str">
        <f>VLOOKUP(E18,'1.2 HR-Data luong'!B:H,6,0)</f>
        <v>Nhân viên</v>
      </c>
      <c r="H18" s="218" t="str">
        <f>VLOOKUP(E18,'1.2 HR-Data luong'!B:H,7,0)</f>
        <v>C1</v>
      </c>
      <c r="AA18" s="234">
        <f>SUMIF('4. ERP-BANG LUONG'!D:D,E18,'4. ERP-BANG LUONG'!AH:AH)-SUMIF('4. ERP-BANG LUONG'!D:D,E18,'4. ERP-BANG LUONG'!AG:AG)</f>
        <v>172700000</v>
      </c>
      <c r="AB18" s="234" t="s">
        <v>396</v>
      </c>
      <c r="AS18" s="234">
        <f t="shared" si="0"/>
        <v>172700000</v>
      </c>
      <c r="AT18" s="234">
        <f t="shared" si="1"/>
        <v>0</v>
      </c>
      <c r="AU18" s="234"/>
    </row>
    <row r="19" spans="1:47" s="240" customFormat="1" x14ac:dyDescent="0.2">
      <c r="A19" s="239" t="s">
        <v>250</v>
      </c>
      <c r="B19" s="238"/>
      <c r="C19" s="238"/>
      <c r="D19" s="238"/>
      <c r="E19" s="238"/>
      <c r="F19" s="238"/>
      <c r="G19" s="238"/>
      <c r="H19" s="238"/>
      <c r="I19" s="238">
        <f>SUM(I5,I8,I12,I16)</f>
        <v>0</v>
      </c>
      <c r="J19" s="238">
        <f t="shared" ref="J19:AT19" si="2">SUM(J5,J8,J12,J16)</f>
        <v>0</v>
      </c>
      <c r="K19" s="238"/>
      <c r="L19" s="238">
        <f t="shared" si="2"/>
        <v>0</v>
      </c>
      <c r="M19" s="238">
        <f t="shared" si="2"/>
        <v>0</v>
      </c>
      <c r="N19" s="238"/>
      <c r="O19" s="238">
        <f t="shared" si="2"/>
        <v>0</v>
      </c>
      <c r="P19" s="238">
        <f t="shared" si="2"/>
        <v>0</v>
      </c>
      <c r="Q19" s="238"/>
      <c r="R19" s="238">
        <f t="shared" si="2"/>
        <v>0</v>
      </c>
      <c r="S19" s="238">
        <f t="shared" si="2"/>
        <v>0</v>
      </c>
      <c r="T19" s="238"/>
      <c r="U19" s="238">
        <f t="shared" si="2"/>
        <v>0</v>
      </c>
      <c r="V19" s="238">
        <f t="shared" si="2"/>
        <v>0</v>
      </c>
      <c r="W19" s="238"/>
      <c r="X19" s="238">
        <f t="shared" si="2"/>
        <v>0</v>
      </c>
      <c r="Y19" s="238">
        <f t="shared" si="2"/>
        <v>0</v>
      </c>
      <c r="Z19" s="238"/>
      <c r="AA19" s="238">
        <f t="shared" si="2"/>
        <v>1187219688.8888888</v>
      </c>
      <c r="AB19" s="238">
        <f t="shared" si="2"/>
        <v>0</v>
      </c>
      <c r="AC19" s="238"/>
      <c r="AD19" s="238">
        <f t="shared" si="2"/>
        <v>0</v>
      </c>
      <c r="AE19" s="238">
        <f t="shared" si="2"/>
        <v>0</v>
      </c>
      <c r="AF19" s="238"/>
      <c r="AG19" s="238">
        <f t="shared" si="2"/>
        <v>0</v>
      </c>
      <c r="AH19" s="238">
        <f t="shared" si="2"/>
        <v>0</v>
      </c>
      <c r="AI19" s="238"/>
      <c r="AJ19" s="238">
        <f t="shared" si="2"/>
        <v>0</v>
      </c>
      <c r="AK19" s="238">
        <f t="shared" si="2"/>
        <v>0</v>
      </c>
      <c r="AL19" s="238"/>
      <c r="AM19" s="238">
        <f t="shared" si="2"/>
        <v>0</v>
      </c>
      <c r="AN19" s="238">
        <f t="shared" si="2"/>
        <v>0</v>
      </c>
      <c r="AO19" s="238"/>
      <c r="AP19" s="238">
        <f t="shared" si="2"/>
        <v>0</v>
      </c>
      <c r="AQ19" s="238">
        <f t="shared" si="2"/>
        <v>0</v>
      </c>
      <c r="AR19" s="238"/>
      <c r="AS19" s="238">
        <f t="shared" si="2"/>
        <v>1187219688.8888888</v>
      </c>
      <c r="AT19" s="238">
        <f t="shared" si="2"/>
        <v>0</v>
      </c>
      <c r="AU19" s="238"/>
    </row>
    <row r="21" spans="1:47" x14ac:dyDescent="0.2">
      <c r="A21" s="233" t="s">
        <v>399</v>
      </c>
    </row>
    <row r="22" spans="1:47" s="243" customFormat="1" x14ac:dyDescent="0.2">
      <c r="A22" s="246"/>
      <c r="B22" s="247"/>
      <c r="C22" s="247"/>
      <c r="D22" s="247"/>
      <c r="E22" s="247"/>
      <c r="F22" s="247"/>
      <c r="G22" s="247"/>
      <c r="H22" s="247"/>
      <c r="I22" s="383" t="s">
        <v>380</v>
      </c>
      <c r="J22" s="383"/>
      <c r="K22" s="241"/>
      <c r="L22" s="383" t="s">
        <v>381</v>
      </c>
      <c r="M22" s="383"/>
      <c r="N22" s="241"/>
      <c r="O22" s="383" t="s">
        <v>382</v>
      </c>
      <c r="P22" s="383"/>
      <c r="Q22" s="241"/>
      <c r="R22" s="383" t="s">
        <v>383</v>
      </c>
      <c r="S22" s="383"/>
      <c r="T22" s="241"/>
      <c r="U22" s="383" t="s">
        <v>384</v>
      </c>
      <c r="V22" s="383"/>
      <c r="W22" s="241"/>
      <c r="X22" s="383" t="s">
        <v>385</v>
      </c>
      <c r="Y22" s="383"/>
      <c r="Z22" s="241"/>
      <c r="AA22" s="384" t="s">
        <v>386</v>
      </c>
      <c r="AB22" s="384"/>
      <c r="AC22" s="242"/>
      <c r="AD22" s="383" t="s">
        <v>387</v>
      </c>
      <c r="AE22" s="383"/>
      <c r="AF22" s="241"/>
      <c r="AG22" s="383" t="s">
        <v>388</v>
      </c>
      <c r="AH22" s="383"/>
      <c r="AI22" s="241"/>
      <c r="AJ22" s="383" t="s">
        <v>389</v>
      </c>
      <c r="AK22" s="383"/>
      <c r="AL22" s="241"/>
      <c r="AM22" s="383" t="s">
        <v>390</v>
      </c>
      <c r="AN22" s="383"/>
      <c r="AO22" s="241"/>
      <c r="AP22" s="383" t="s">
        <v>391</v>
      </c>
      <c r="AQ22" s="383"/>
      <c r="AR22" s="241"/>
      <c r="AS22" s="383" t="s">
        <v>397</v>
      </c>
      <c r="AT22" s="383"/>
      <c r="AU22" s="241"/>
    </row>
    <row r="23" spans="1:47" s="243" customFormat="1" ht="25.5" x14ac:dyDescent="0.2">
      <c r="A23" s="241" t="s">
        <v>44</v>
      </c>
      <c r="B23" s="241" t="s">
        <v>249</v>
      </c>
      <c r="C23" s="241" t="s">
        <v>82</v>
      </c>
      <c r="D23" s="241" t="s">
        <v>2</v>
      </c>
      <c r="E23" s="241" t="s">
        <v>45</v>
      </c>
      <c r="F23" s="241" t="s">
        <v>86</v>
      </c>
      <c r="G23" s="241" t="s">
        <v>402</v>
      </c>
      <c r="H23" s="241" t="s">
        <v>401</v>
      </c>
      <c r="I23" s="241" t="s">
        <v>417</v>
      </c>
      <c r="J23" s="241" t="s">
        <v>418</v>
      </c>
      <c r="K23" s="241"/>
      <c r="L23" s="241" t="s">
        <v>417</v>
      </c>
      <c r="M23" s="241" t="s">
        <v>418</v>
      </c>
      <c r="N23" s="241"/>
      <c r="O23" s="241" t="s">
        <v>417</v>
      </c>
      <c r="P23" s="241" t="s">
        <v>418</v>
      </c>
      <c r="Q23" s="241"/>
      <c r="R23" s="241" t="s">
        <v>417</v>
      </c>
      <c r="S23" s="241" t="s">
        <v>418</v>
      </c>
      <c r="T23" s="241"/>
      <c r="U23" s="241" t="s">
        <v>417</v>
      </c>
      <c r="V23" s="241" t="s">
        <v>418</v>
      </c>
      <c r="W23" s="241"/>
      <c r="X23" s="241" t="s">
        <v>417</v>
      </c>
      <c r="Y23" s="241" t="s">
        <v>418</v>
      </c>
      <c r="Z23" s="241"/>
      <c r="AA23" s="241" t="s">
        <v>417</v>
      </c>
      <c r="AB23" s="241" t="s">
        <v>418</v>
      </c>
      <c r="AC23" s="242"/>
      <c r="AD23" s="241" t="s">
        <v>417</v>
      </c>
      <c r="AE23" s="241" t="s">
        <v>418</v>
      </c>
      <c r="AF23" s="241"/>
      <c r="AG23" s="241" t="s">
        <v>417</v>
      </c>
      <c r="AH23" s="241" t="s">
        <v>418</v>
      </c>
      <c r="AI23" s="241"/>
      <c r="AJ23" s="241" t="s">
        <v>417</v>
      </c>
      <c r="AK23" s="241" t="s">
        <v>418</v>
      </c>
      <c r="AL23" s="241"/>
      <c r="AM23" s="241" t="s">
        <v>417</v>
      </c>
      <c r="AN23" s="241" t="s">
        <v>418</v>
      </c>
      <c r="AO23" s="241"/>
      <c r="AP23" s="241" t="s">
        <v>417</v>
      </c>
      <c r="AQ23" s="241" t="s">
        <v>418</v>
      </c>
      <c r="AR23" s="241"/>
      <c r="AS23" s="241" t="s">
        <v>417</v>
      </c>
      <c r="AT23" s="241" t="s">
        <v>418</v>
      </c>
      <c r="AU23" s="241"/>
    </row>
    <row r="24" spans="1:47" x14ac:dyDescent="0.2">
      <c r="A24" s="236">
        <v>1</v>
      </c>
      <c r="B24" s="237" t="s">
        <v>302</v>
      </c>
      <c r="C24" s="237" t="s">
        <v>83</v>
      </c>
      <c r="D24" s="237" t="s">
        <v>392</v>
      </c>
      <c r="E24" s="237"/>
      <c r="F24" s="237"/>
      <c r="G24" s="237"/>
      <c r="H24" s="237"/>
      <c r="I24" s="237"/>
      <c r="J24" s="237"/>
      <c r="K24" s="237"/>
      <c r="L24" s="237"/>
      <c r="M24" s="237"/>
      <c r="N24" s="237"/>
      <c r="O24" s="237"/>
      <c r="P24" s="237"/>
      <c r="Q24" s="237"/>
      <c r="R24" s="237"/>
      <c r="S24" s="237"/>
      <c r="T24" s="237"/>
      <c r="U24" s="237"/>
      <c r="V24" s="237"/>
      <c r="W24" s="237"/>
      <c r="X24" s="237"/>
      <c r="Y24" s="237"/>
      <c r="Z24" s="237"/>
      <c r="AA24" s="238">
        <f>SUMIF('4. ERP-BANG LUONG'!E:E,D24,'4. ERP-BANG LUONG'!W:W)+SUMIF('4. ERP-BANG LUONG'!E:E,D24,'4. ERP-BANG LUONG'!X:X)</f>
        <v>6936009.876543209</v>
      </c>
      <c r="AB24" s="238" t="s">
        <v>396</v>
      </c>
      <c r="AC24" s="238"/>
      <c r="AD24" s="237"/>
      <c r="AE24" s="237"/>
      <c r="AF24" s="237"/>
      <c r="AG24" s="237"/>
      <c r="AH24" s="237"/>
      <c r="AI24" s="237"/>
      <c r="AJ24" s="237"/>
      <c r="AK24" s="237"/>
      <c r="AL24" s="237"/>
      <c r="AM24" s="237"/>
      <c r="AN24" s="237"/>
      <c r="AO24" s="237"/>
      <c r="AP24" s="237"/>
      <c r="AQ24" s="237"/>
      <c r="AR24" s="237"/>
      <c r="AS24" s="238">
        <f>SUMIF($I$23:$AQ$23,"Lương cứng",$I24:$AQ24)</f>
        <v>0</v>
      </c>
      <c r="AT24" s="238">
        <f t="shared" ref="AT24:AT37" si="3">SUMIF($I$4:$AQ$4,"Margin",$I24:$AQ24)</f>
        <v>0</v>
      </c>
      <c r="AU24" s="238"/>
    </row>
    <row r="25" spans="1:47" x14ac:dyDescent="0.2">
      <c r="A25" s="235"/>
      <c r="B25" s="218" t="s">
        <v>302</v>
      </c>
      <c r="C25" s="218" t="s">
        <v>83</v>
      </c>
      <c r="D25" s="218" t="s">
        <v>392</v>
      </c>
      <c r="E25" s="218" t="s">
        <v>95</v>
      </c>
      <c r="F25" s="218" t="s">
        <v>105</v>
      </c>
      <c r="G25" s="218" t="str">
        <f>VLOOKUP(E25,'1.2 HR-Data luong'!B:H,6,0)</f>
        <v>Trưởng phòng</v>
      </c>
      <c r="H25" s="218" t="str">
        <f>VLOOKUP(E25,'1.2 HR-Data luong'!B:H,7,0)</f>
        <v>TP C1</v>
      </c>
      <c r="AA25" s="234">
        <f>SUMIF('4. ERP-BANG LUONG'!D:D,E25,'4. ERP-BANG LUONG'!W:W)+SUMIF('4. ERP-BANG LUONG'!D:D,E25,'4. ERP-BANG LUONG'!X:X)</f>
        <v>4632898.7654320989</v>
      </c>
      <c r="AB25" s="234" t="s">
        <v>396</v>
      </c>
      <c r="AS25" s="234">
        <f t="shared" ref="AS25:AS37" si="4">SUMIF($I$23:$AQ$23,"Lương cứng",$I25:$AQ25)</f>
        <v>0</v>
      </c>
      <c r="AT25" s="234">
        <f t="shared" si="3"/>
        <v>0</v>
      </c>
      <c r="AU25" s="234"/>
    </row>
    <row r="26" spans="1:47" x14ac:dyDescent="0.2">
      <c r="A26" s="235"/>
      <c r="B26" s="218" t="s">
        <v>302</v>
      </c>
      <c r="C26" s="218" t="s">
        <v>83</v>
      </c>
      <c r="D26" s="218" t="s">
        <v>392</v>
      </c>
      <c r="E26" s="218" t="s">
        <v>96</v>
      </c>
      <c r="F26" s="218" t="s">
        <v>106</v>
      </c>
      <c r="G26" s="218" t="str">
        <f>VLOOKUP(E26,'1.2 HR-Data luong'!B:H,6,0)</f>
        <v>Nhân viên</v>
      </c>
      <c r="H26" s="218" t="str">
        <f>VLOOKUP(E26,'1.2 HR-Data luong'!B:H,7,0)</f>
        <v>C1</v>
      </c>
      <c r="AA26" s="234">
        <f>SUMIF('4. ERP-BANG LUONG'!D:D,E26,'4. ERP-BANG LUONG'!W:W)+SUMIF('4. ERP-BANG LUONG'!D:D,E26,'4. ERP-BANG LUONG'!X:X)</f>
        <v>2303111.111111111</v>
      </c>
      <c r="AB26" s="234" t="s">
        <v>396</v>
      </c>
      <c r="AS26" s="234">
        <f t="shared" si="4"/>
        <v>0</v>
      </c>
      <c r="AT26" s="234">
        <f t="shared" si="3"/>
        <v>0</v>
      </c>
      <c r="AU26" s="234"/>
    </row>
    <row r="27" spans="1:47" x14ac:dyDescent="0.2">
      <c r="A27" s="236">
        <v>2</v>
      </c>
      <c r="B27" s="237" t="s">
        <v>302</v>
      </c>
      <c r="C27" s="237" t="s">
        <v>83</v>
      </c>
      <c r="D27" s="237" t="s">
        <v>393</v>
      </c>
      <c r="E27" s="237"/>
      <c r="F27" s="237"/>
      <c r="G27" s="237"/>
      <c r="H27" s="237"/>
      <c r="I27" s="237"/>
      <c r="J27" s="237"/>
      <c r="K27" s="237"/>
      <c r="L27" s="237"/>
      <c r="M27" s="237"/>
      <c r="N27" s="237"/>
      <c r="O27" s="237"/>
      <c r="P27" s="237"/>
      <c r="Q27" s="237"/>
      <c r="R27" s="237"/>
      <c r="S27" s="237"/>
      <c r="T27" s="237"/>
      <c r="U27" s="237"/>
      <c r="V27" s="237"/>
      <c r="W27" s="237"/>
      <c r="X27" s="237"/>
      <c r="Y27" s="237"/>
      <c r="Z27" s="237"/>
      <c r="AA27" s="238">
        <f>SUMIF('4. ERP-BANG LUONG'!E:E,D27,'4. ERP-BANG LUONG'!W:W)+SUMIF('4. ERP-BANG LUONG'!E:E,D27,'4. ERP-BANG LUONG'!X:X)</f>
        <v>18237012.345679011</v>
      </c>
      <c r="AB27" s="238" t="s">
        <v>396</v>
      </c>
      <c r="AC27" s="238"/>
      <c r="AD27" s="237"/>
      <c r="AE27" s="237"/>
      <c r="AF27" s="237"/>
      <c r="AG27" s="237"/>
      <c r="AH27" s="237"/>
      <c r="AI27" s="237"/>
      <c r="AJ27" s="237"/>
      <c r="AK27" s="237"/>
      <c r="AL27" s="237"/>
      <c r="AM27" s="237"/>
      <c r="AN27" s="237"/>
      <c r="AO27" s="237"/>
      <c r="AP27" s="237"/>
      <c r="AQ27" s="237"/>
      <c r="AR27" s="237"/>
      <c r="AS27" s="238">
        <f t="shared" si="4"/>
        <v>0</v>
      </c>
      <c r="AT27" s="238">
        <f t="shared" si="3"/>
        <v>0</v>
      </c>
      <c r="AU27" s="238"/>
    </row>
    <row r="28" spans="1:47" x14ac:dyDescent="0.2">
      <c r="A28" s="235"/>
      <c r="B28" s="218" t="s">
        <v>302</v>
      </c>
      <c r="C28" s="218" t="s">
        <v>83</v>
      </c>
      <c r="D28" s="218" t="s">
        <v>393</v>
      </c>
      <c r="E28" s="218" t="s">
        <v>97</v>
      </c>
      <c r="F28" s="218" t="s">
        <v>108</v>
      </c>
      <c r="G28" s="218" t="str">
        <f>VLOOKUP(E28,'1.2 HR-Data luong'!B:H,6,0)</f>
        <v>Trưởng phòng</v>
      </c>
      <c r="H28" s="218" t="str">
        <f>VLOOKUP(E28,'1.2 HR-Data luong'!B:H,7,0)</f>
        <v>TP C2</v>
      </c>
      <c r="AA28" s="234">
        <f>SUMIF('4. ERP-BANG LUONG'!D:D,E28,'4. ERP-BANG LUONG'!W:W)+SUMIF('4. ERP-BANG LUONG'!D:D,E28,'4. ERP-BANG LUONG'!X:X)</f>
        <v>3348666.6666666665</v>
      </c>
      <c r="AB28" s="234" t="s">
        <v>396</v>
      </c>
      <c r="AS28" s="234">
        <f t="shared" si="4"/>
        <v>0</v>
      </c>
      <c r="AT28" s="234">
        <f t="shared" si="3"/>
        <v>0</v>
      </c>
      <c r="AU28" s="234"/>
    </row>
    <row r="29" spans="1:47" x14ac:dyDescent="0.2">
      <c r="A29" s="235"/>
      <c r="B29" s="218" t="s">
        <v>302</v>
      </c>
      <c r="C29" s="218" t="s">
        <v>83</v>
      </c>
      <c r="D29" s="218" t="s">
        <v>393</v>
      </c>
      <c r="E29" s="218" t="s">
        <v>98</v>
      </c>
      <c r="F29" s="218" t="s">
        <v>109</v>
      </c>
      <c r="G29" s="218" t="str">
        <f>VLOOKUP(E29,'1.2 HR-Data luong'!B:H,6,0)</f>
        <v>Nhân viên</v>
      </c>
      <c r="H29" s="218" t="str">
        <f>VLOOKUP(E29,'1.2 HR-Data luong'!B:H,7,0)</f>
        <v>C2</v>
      </c>
      <c r="AA29" s="234">
        <f>SUMIF('4. ERP-BANG LUONG'!D:D,E29,'4. ERP-BANG LUONG'!W:W)+SUMIF('4. ERP-BANG LUONG'!D:D,E29,'4. ERP-BANG LUONG'!X:X)</f>
        <v>4412444.444444444</v>
      </c>
      <c r="AB29" s="234" t="s">
        <v>396</v>
      </c>
      <c r="AS29" s="234">
        <f t="shared" si="4"/>
        <v>0</v>
      </c>
      <c r="AT29" s="234">
        <f t="shared" si="3"/>
        <v>0</v>
      </c>
      <c r="AU29" s="234"/>
    </row>
    <row r="30" spans="1:47" x14ac:dyDescent="0.2">
      <c r="A30" s="235"/>
      <c r="B30" s="218" t="s">
        <v>302</v>
      </c>
      <c r="C30" s="218" t="s">
        <v>83</v>
      </c>
      <c r="D30" s="218" t="s">
        <v>393</v>
      </c>
      <c r="E30" s="218" t="s">
        <v>99</v>
      </c>
      <c r="F30" s="218" t="s">
        <v>110</v>
      </c>
      <c r="G30" s="218" t="str">
        <f>VLOOKUP(E30,'1.2 HR-Data luong'!B:H,6,0)</f>
        <v>Nhân viên</v>
      </c>
      <c r="H30" s="218" t="str">
        <f>VLOOKUP(E30,'1.2 HR-Data luong'!B:H,7,0)</f>
        <v>C3</v>
      </c>
      <c r="AA30" s="234">
        <f>SUMIF('4. ERP-BANG LUONG'!D:D,E30,'4. ERP-BANG LUONG'!W:W)+SUMIF('4. ERP-BANG LUONG'!D:D,E30,'4. ERP-BANG LUONG'!X:X)</f>
        <v>10475901.234567903</v>
      </c>
      <c r="AB30" s="234" t="s">
        <v>396</v>
      </c>
      <c r="AS30" s="234">
        <f t="shared" si="4"/>
        <v>0</v>
      </c>
      <c r="AT30" s="234">
        <f t="shared" si="3"/>
        <v>0</v>
      </c>
      <c r="AU30" s="234"/>
    </row>
    <row r="31" spans="1:47" x14ac:dyDescent="0.2">
      <c r="A31" s="236">
        <v>3</v>
      </c>
      <c r="B31" s="237" t="s">
        <v>302</v>
      </c>
      <c r="C31" s="237" t="s">
        <v>43</v>
      </c>
      <c r="D31" s="237" t="s">
        <v>395</v>
      </c>
      <c r="E31" s="237"/>
      <c r="F31" s="237"/>
      <c r="G31" s="237"/>
      <c r="H31" s="237"/>
      <c r="I31" s="237"/>
      <c r="J31" s="237"/>
      <c r="K31" s="237"/>
      <c r="L31" s="237"/>
      <c r="M31" s="237"/>
      <c r="N31" s="237"/>
      <c r="O31" s="237"/>
      <c r="P31" s="237"/>
      <c r="Q31" s="237"/>
      <c r="R31" s="237"/>
      <c r="S31" s="237"/>
      <c r="T31" s="237"/>
      <c r="U31" s="237"/>
      <c r="V31" s="237"/>
      <c r="W31" s="237"/>
      <c r="X31" s="237"/>
      <c r="Y31" s="237"/>
      <c r="Z31" s="237"/>
      <c r="AA31" s="238">
        <f>SUMIF('4. ERP-BANG LUONG'!E:E,D31,'4. ERP-BANG LUONG'!W:W)+SUMIF('4. ERP-BANG LUONG'!E:E,D31,'4. ERP-BANG LUONG'!X:X)</f>
        <v>24936666.666666668</v>
      </c>
      <c r="AB31" s="238" t="s">
        <v>396</v>
      </c>
      <c r="AC31" s="238"/>
      <c r="AD31" s="237"/>
      <c r="AE31" s="237"/>
      <c r="AF31" s="237"/>
      <c r="AG31" s="237"/>
      <c r="AH31" s="237"/>
      <c r="AI31" s="237"/>
      <c r="AJ31" s="237"/>
      <c r="AK31" s="237"/>
      <c r="AL31" s="237"/>
      <c r="AM31" s="237"/>
      <c r="AN31" s="237"/>
      <c r="AO31" s="237"/>
      <c r="AP31" s="237"/>
      <c r="AQ31" s="237"/>
      <c r="AR31" s="237"/>
      <c r="AS31" s="238">
        <f t="shared" si="4"/>
        <v>0</v>
      </c>
      <c r="AT31" s="238">
        <f t="shared" si="3"/>
        <v>0</v>
      </c>
      <c r="AU31" s="238"/>
    </row>
    <row r="32" spans="1:47" x14ac:dyDescent="0.2">
      <c r="A32" s="235"/>
      <c r="B32" s="218" t="s">
        <v>302</v>
      </c>
      <c r="C32" s="218" t="s">
        <v>43</v>
      </c>
      <c r="D32" s="218" t="s">
        <v>395</v>
      </c>
      <c r="E32" s="218" t="s">
        <v>100</v>
      </c>
      <c r="F32" s="218" t="s">
        <v>111</v>
      </c>
      <c r="G32" s="218" t="str">
        <f>VLOOKUP(E32,'1.2 HR-Data luong'!B:H,6,0)</f>
        <v>Trưởng phòng</v>
      </c>
      <c r="H32" s="218" t="str">
        <f>VLOOKUP(E32,'1.2 HR-Data luong'!B:H,7,0)</f>
        <v>TP C3</v>
      </c>
      <c r="AA32" s="234">
        <f>SUMIF('4. ERP-BANG LUONG'!D:D,E32,'4. ERP-BANG LUONG'!W:W)+SUMIF('4. ERP-BANG LUONG'!D:D,E32,'4. ERP-BANG LUONG'!X:X)</f>
        <v>6760000</v>
      </c>
      <c r="AB32" s="234" t="s">
        <v>396</v>
      </c>
      <c r="AS32" s="234">
        <f t="shared" si="4"/>
        <v>0</v>
      </c>
      <c r="AT32" s="234">
        <f t="shared" si="3"/>
        <v>0</v>
      </c>
      <c r="AU32" s="234"/>
    </row>
    <row r="33" spans="1:47" x14ac:dyDescent="0.2">
      <c r="A33" s="235"/>
      <c r="B33" s="218" t="s">
        <v>302</v>
      </c>
      <c r="C33" s="218" t="s">
        <v>43</v>
      </c>
      <c r="D33" s="218" t="s">
        <v>395</v>
      </c>
      <c r="E33" s="218" t="s">
        <v>101</v>
      </c>
      <c r="F33" s="218" t="s">
        <v>112</v>
      </c>
      <c r="G33" s="218" t="str">
        <f>VLOOKUP(E33,'1.2 HR-Data luong'!B:H,6,0)</f>
        <v>Nhân viên</v>
      </c>
      <c r="H33" s="218" t="str">
        <f>VLOOKUP(E33,'1.2 HR-Data luong'!B:H,7,0)</f>
        <v>C4</v>
      </c>
      <c r="AA33" s="234">
        <f>SUMIF('4. ERP-BANG LUONG'!D:D,E33,'4. ERP-BANG LUONG'!W:W)+SUMIF('4. ERP-BANG LUONG'!D:D,E33,'4. ERP-BANG LUONG'!X:X)</f>
        <v>7890000</v>
      </c>
      <c r="AB33" s="234" t="s">
        <v>396</v>
      </c>
      <c r="AS33" s="234">
        <f t="shared" si="4"/>
        <v>0</v>
      </c>
      <c r="AT33" s="234">
        <f t="shared" si="3"/>
        <v>0</v>
      </c>
      <c r="AU33" s="234"/>
    </row>
    <row r="34" spans="1:47" x14ac:dyDescent="0.2">
      <c r="A34" s="235"/>
      <c r="B34" s="218" t="s">
        <v>302</v>
      </c>
      <c r="C34" s="218" t="s">
        <v>43</v>
      </c>
      <c r="D34" s="218" t="s">
        <v>395</v>
      </c>
      <c r="E34" s="218" t="s">
        <v>102</v>
      </c>
      <c r="F34" s="218" t="s">
        <v>107</v>
      </c>
      <c r="G34" s="218" t="str">
        <f>VLOOKUP(E34,'1.2 HR-Data luong'!B:H,6,0)</f>
        <v>Nhân viên</v>
      </c>
      <c r="H34" s="218" t="str">
        <f>VLOOKUP(E34,'1.2 HR-Data luong'!B:H,7,0)</f>
        <v>S1</v>
      </c>
      <c r="AA34" s="234">
        <f>SUMIF('4. ERP-BANG LUONG'!D:D,E34,'4. ERP-BANG LUONG'!W:W)+SUMIF('4. ERP-BANG LUONG'!D:D,E34,'4. ERP-BANG LUONG'!X:X)</f>
        <v>10286666.666666668</v>
      </c>
      <c r="AB34" s="234" t="s">
        <v>396</v>
      </c>
      <c r="AS34" s="234">
        <f t="shared" si="4"/>
        <v>0</v>
      </c>
      <c r="AT34" s="234">
        <f t="shared" si="3"/>
        <v>0</v>
      </c>
      <c r="AU34" s="234"/>
    </row>
    <row r="35" spans="1:47" x14ac:dyDescent="0.2">
      <c r="A35" s="236">
        <v>4</v>
      </c>
      <c r="B35" s="237" t="s">
        <v>302</v>
      </c>
      <c r="C35" s="237" t="s">
        <v>83</v>
      </c>
      <c r="D35" s="237" t="s">
        <v>394</v>
      </c>
      <c r="E35" s="237"/>
      <c r="F35" s="237"/>
      <c r="G35" s="237"/>
      <c r="H35" s="237"/>
      <c r="I35" s="237"/>
      <c r="J35" s="237"/>
      <c r="K35" s="237"/>
      <c r="L35" s="237"/>
      <c r="M35" s="237"/>
      <c r="N35" s="237"/>
      <c r="O35" s="237"/>
      <c r="P35" s="237"/>
      <c r="Q35" s="237"/>
      <c r="R35" s="237"/>
      <c r="S35" s="237"/>
      <c r="T35" s="237"/>
      <c r="U35" s="237"/>
      <c r="V35" s="237"/>
      <c r="W35" s="237"/>
      <c r="X35" s="237"/>
      <c r="Y35" s="237"/>
      <c r="Z35" s="237"/>
      <c r="AA35" s="238">
        <f>SUMIF('4. ERP-BANG LUONG'!E:E,D35,'4. ERP-BANG LUONG'!W:W)+SUMIF('4. ERP-BANG LUONG'!E:E,D35,'4. ERP-BANG LUONG'!X:X)</f>
        <v>21610000</v>
      </c>
      <c r="AB35" s="238" t="s">
        <v>396</v>
      </c>
      <c r="AC35" s="238"/>
      <c r="AD35" s="237"/>
      <c r="AE35" s="237"/>
      <c r="AF35" s="237"/>
      <c r="AG35" s="237"/>
      <c r="AH35" s="237"/>
      <c r="AI35" s="237"/>
      <c r="AJ35" s="237"/>
      <c r="AK35" s="237"/>
      <c r="AL35" s="237"/>
      <c r="AM35" s="237"/>
      <c r="AN35" s="237"/>
      <c r="AO35" s="237"/>
      <c r="AP35" s="237"/>
      <c r="AQ35" s="237"/>
      <c r="AR35" s="237"/>
      <c r="AS35" s="238">
        <f t="shared" si="4"/>
        <v>0</v>
      </c>
      <c r="AT35" s="238">
        <f t="shared" si="3"/>
        <v>0</v>
      </c>
      <c r="AU35" s="238"/>
    </row>
    <row r="36" spans="1:47" x14ac:dyDescent="0.2">
      <c r="B36" s="218" t="s">
        <v>302</v>
      </c>
      <c r="C36" s="218" t="s">
        <v>83</v>
      </c>
      <c r="D36" s="218" t="s">
        <v>394</v>
      </c>
      <c r="E36" s="218" t="s">
        <v>103</v>
      </c>
      <c r="F36" s="218" t="s">
        <v>113</v>
      </c>
      <c r="G36" s="218" t="str">
        <f>VLOOKUP(E36,'1.2 HR-Data luong'!B:H,6,0)</f>
        <v>Trưởng phòng</v>
      </c>
      <c r="H36" s="218" t="str">
        <f>VLOOKUP(E36,'1.2 HR-Data luong'!B:H,7,0)</f>
        <v>TP KPC</v>
      </c>
      <c r="AA36" s="234">
        <f>SUMIF('4. ERP-BANG LUONG'!D:D,E36,'4. ERP-BANG LUONG'!W:W)+SUMIF('4. ERP-BANG LUONG'!D:D,E36,'4. ERP-BANG LUONG'!X:X)</f>
        <v>10210000</v>
      </c>
      <c r="AB36" s="234" t="s">
        <v>396</v>
      </c>
      <c r="AS36" s="234">
        <f t="shared" si="4"/>
        <v>0</v>
      </c>
      <c r="AT36" s="234">
        <f t="shared" si="3"/>
        <v>0</v>
      </c>
      <c r="AU36" s="234"/>
    </row>
    <row r="37" spans="1:47" x14ac:dyDescent="0.2">
      <c r="B37" s="218" t="s">
        <v>302</v>
      </c>
      <c r="C37" s="218" t="s">
        <v>83</v>
      </c>
      <c r="D37" s="218" t="s">
        <v>394</v>
      </c>
      <c r="E37" s="218" t="s">
        <v>104</v>
      </c>
      <c r="F37" s="218" t="s">
        <v>114</v>
      </c>
      <c r="G37" s="218" t="str">
        <f>VLOOKUP(E37,'1.2 HR-Data luong'!B:H,6,0)</f>
        <v>Nhân viên</v>
      </c>
      <c r="H37" s="218" t="str">
        <f>VLOOKUP(E37,'1.2 HR-Data luong'!B:H,7,0)</f>
        <v>C1</v>
      </c>
      <c r="AA37" s="234">
        <f>SUMIF('4. ERP-BANG LUONG'!D:D,E37,'4. ERP-BANG LUONG'!W:W)+SUMIF('4. ERP-BANG LUONG'!D:D,E37,'4. ERP-BANG LUONG'!X:X)</f>
        <v>11400000</v>
      </c>
      <c r="AB37" s="234" t="s">
        <v>396</v>
      </c>
      <c r="AS37" s="234">
        <f t="shared" si="4"/>
        <v>0</v>
      </c>
      <c r="AT37" s="234">
        <f t="shared" si="3"/>
        <v>0</v>
      </c>
      <c r="AU37" s="234"/>
    </row>
    <row r="38" spans="1:47" x14ac:dyDescent="0.2">
      <c r="A38" s="239" t="s">
        <v>250</v>
      </c>
      <c r="B38" s="238"/>
      <c r="C38" s="238"/>
      <c r="D38" s="238"/>
      <c r="E38" s="238"/>
      <c r="F38" s="238"/>
      <c r="G38" s="238"/>
      <c r="H38" s="238"/>
      <c r="I38" s="238">
        <f>SUM(I24,I27,I31,I35)</f>
        <v>0</v>
      </c>
      <c r="J38" s="238">
        <f t="shared" ref="J38:AT38" si="5">SUM(J24,J27,J31,J35)</f>
        <v>0</v>
      </c>
      <c r="K38" s="238"/>
      <c r="L38" s="238">
        <f t="shared" si="5"/>
        <v>0</v>
      </c>
      <c r="M38" s="238">
        <f t="shared" si="5"/>
        <v>0</v>
      </c>
      <c r="N38" s="238"/>
      <c r="O38" s="238">
        <f t="shared" si="5"/>
        <v>0</v>
      </c>
      <c r="P38" s="238">
        <f t="shared" si="5"/>
        <v>0</v>
      </c>
      <c r="Q38" s="238"/>
      <c r="R38" s="238">
        <f t="shared" si="5"/>
        <v>0</v>
      </c>
      <c r="S38" s="238">
        <f t="shared" si="5"/>
        <v>0</v>
      </c>
      <c r="T38" s="238"/>
      <c r="U38" s="238">
        <f t="shared" si="5"/>
        <v>0</v>
      </c>
      <c r="V38" s="238">
        <f t="shared" si="5"/>
        <v>0</v>
      </c>
      <c r="W38" s="238"/>
      <c r="X38" s="238">
        <f t="shared" si="5"/>
        <v>0</v>
      </c>
      <c r="Y38" s="238">
        <f t="shared" si="5"/>
        <v>0</v>
      </c>
      <c r="Z38" s="238"/>
      <c r="AA38" s="238">
        <f t="shared" si="5"/>
        <v>71719688.888888896</v>
      </c>
      <c r="AB38" s="238">
        <f t="shared" si="5"/>
        <v>0</v>
      </c>
      <c r="AC38" s="238"/>
      <c r="AD38" s="238">
        <f t="shared" si="5"/>
        <v>0</v>
      </c>
      <c r="AE38" s="238">
        <f t="shared" si="5"/>
        <v>0</v>
      </c>
      <c r="AF38" s="238"/>
      <c r="AG38" s="238">
        <f t="shared" si="5"/>
        <v>0</v>
      </c>
      <c r="AH38" s="238">
        <f t="shared" si="5"/>
        <v>0</v>
      </c>
      <c r="AI38" s="238"/>
      <c r="AJ38" s="238">
        <f t="shared" si="5"/>
        <v>0</v>
      </c>
      <c r="AK38" s="238">
        <f t="shared" si="5"/>
        <v>0</v>
      </c>
      <c r="AL38" s="238"/>
      <c r="AM38" s="238">
        <f t="shared" si="5"/>
        <v>0</v>
      </c>
      <c r="AN38" s="238">
        <f t="shared" si="5"/>
        <v>0</v>
      </c>
      <c r="AO38" s="238"/>
      <c r="AP38" s="238">
        <f t="shared" si="5"/>
        <v>0</v>
      </c>
      <c r="AQ38" s="238">
        <f t="shared" si="5"/>
        <v>0</v>
      </c>
      <c r="AR38" s="238"/>
      <c r="AS38" s="238">
        <f t="shared" si="5"/>
        <v>0</v>
      </c>
      <c r="AT38" s="238">
        <f t="shared" si="5"/>
        <v>0</v>
      </c>
      <c r="AU38" s="238"/>
    </row>
    <row r="40" spans="1:47" x14ac:dyDescent="0.2">
      <c r="A40" s="233" t="s">
        <v>403</v>
      </c>
    </row>
    <row r="41" spans="1:47" s="243" customFormat="1" x14ac:dyDescent="0.2">
      <c r="A41" s="246"/>
      <c r="B41" s="247"/>
      <c r="C41" s="247"/>
      <c r="D41" s="247"/>
      <c r="E41" s="247"/>
      <c r="F41" s="247"/>
      <c r="G41" s="247"/>
      <c r="H41" s="247"/>
      <c r="I41" s="383" t="s">
        <v>380</v>
      </c>
      <c r="J41" s="383"/>
      <c r="K41" s="241"/>
      <c r="L41" s="383" t="s">
        <v>381</v>
      </c>
      <c r="M41" s="383"/>
      <c r="N41" s="241"/>
      <c r="O41" s="383" t="s">
        <v>382</v>
      </c>
      <c r="P41" s="383"/>
      <c r="Q41" s="241"/>
      <c r="R41" s="383" t="s">
        <v>383</v>
      </c>
      <c r="S41" s="383"/>
      <c r="T41" s="241"/>
      <c r="U41" s="383" t="s">
        <v>384</v>
      </c>
      <c r="V41" s="383"/>
      <c r="W41" s="241"/>
      <c r="X41" s="383" t="s">
        <v>385</v>
      </c>
      <c r="Y41" s="383"/>
      <c r="Z41" s="241"/>
      <c r="AA41" s="384" t="s">
        <v>386</v>
      </c>
      <c r="AB41" s="384"/>
      <c r="AC41" s="242"/>
      <c r="AD41" s="383" t="s">
        <v>387</v>
      </c>
      <c r="AE41" s="383"/>
      <c r="AF41" s="241"/>
      <c r="AG41" s="383" t="s">
        <v>388</v>
      </c>
      <c r="AH41" s="383"/>
      <c r="AI41" s="241"/>
      <c r="AJ41" s="383" t="s">
        <v>389</v>
      </c>
      <c r="AK41" s="383"/>
      <c r="AL41" s="241"/>
      <c r="AM41" s="383" t="s">
        <v>390</v>
      </c>
      <c r="AN41" s="383"/>
      <c r="AO41" s="241"/>
      <c r="AP41" s="383" t="s">
        <v>391</v>
      </c>
      <c r="AQ41" s="383"/>
      <c r="AR41" s="241"/>
      <c r="AS41" s="383" t="s">
        <v>397</v>
      </c>
      <c r="AT41" s="383"/>
      <c r="AU41" s="241"/>
    </row>
    <row r="42" spans="1:47" s="243" customFormat="1" ht="25.5" x14ac:dyDescent="0.2">
      <c r="A42" s="241" t="s">
        <v>44</v>
      </c>
      <c r="B42" s="241" t="s">
        <v>249</v>
      </c>
      <c r="C42" s="241" t="s">
        <v>82</v>
      </c>
      <c r="D42" s="241" t="s">
        <v>2</v>
      </c>
      <c r="E42" s="241"/>
      <c r="F42" s="241"/>
      <c r="G42" s="241" t="s">
        <v>402</v>
      </c>
      <c r="H42" s="241"/>
      <c r="I42" s="241" t="s">
        <v>417</v>
      </c>
      <c r="J42" s="241" t="s">
        <v>418</v>
      </c>
      <c r="K42" s="241" t="s">
        <v>404</v>
      </c>
      <c r="L42" s="241" t="s">
        <v>417</v>
      </c>
      <c r="M42" s="241" t="s">
        <v>418</v>
      </c>
      <c r="N42" s="241" t="s">
        <v>405</v>
      </c>
      <c r="O42" s="241" t="s">
        <v>417</v>
      </c>
      <c r="P42" s="241" t="s">
        <v>418</v>
      </c>
      <c r="Q42" s="241" t="s">
        <v>406</v>
      </c>
      <c r="R42" s="241" t="s">
        <v>417</v>
      </c>
      <c r="S42" s="241" t="s">
        <v>418</v>
      </c>
      <c r="T42" s="241" t="s">
        <v>407</v>
      </c>
      <c r="U42" s="241" t="s">
        <v>417</v>
      </c>
      <c r="V42" s="241" t="s">
        <v>418</v>
      </c>
      <c r="W42" s="241" t="s">
        <v>408</v>
      </c>
      <c r="X42" s="241" t="s">
        <v>417</v>
      </c>
      <c r="Y42" s="241" t="s">
        <v>418</v>
      </c>
      <c r="Z42" s="241" t="s">
        <v>409</v>
      </c>
      <c r="AA42" s="241" t="s">
        <v>417</v>
      </c>
      <c r="AB42" s="241" t="s">
        <v>418</v>
      </c>
      <c r="AC42" s="241" t="s">
        <v>410</v>
      </c>
      <c r="AD42" s="241" t="s">
        <v>417</v>
      </c>
      <c r="AE42" s="241" t="s">
        <v>418</v>
      </c>
      <c r="AF42" s="241" t="s">
        <v>411</v>
      </c>
      <c r="AG42" s="241" t="s">
        <v>417</v>
      </c>
      <c r="AH42" s="241" t="s">
        <v>418</v>
      </c>
      <c r="AI42" s="241" t="s">
        <v>412</v>
      </c>
      <c r="AJ42" s="241" t="s">
        <v>417</v>
      </c>
      <c r="AK42" s="241" t="s">
        <v>418</v>
      </c>
      <c r="AL42" s="241" t="s">
        <v>413</v>
      </c>
      <c r="AM42" s="241" t="s">
        <v>417</v>
      </c>
      <c r="AN42" s="241" t="s">
        <v>418</v>
      </c>
      <c r="AO42" s="241" t="s">
        <v>414</v>
      </c>
      <c r="AP42" s="241" t="s">
        <v>417</v>
      </c>
      <c r="AQ42" s="241" t="s">
        <v>418</v>
      </c>
      <c r="AR42" s="241" t="s">
        <v>415</v>
      </c>
      <c r="AS42" s="241" t="s">
        <v>417</v>
      </c>
      <c r="AT42" s="241" t="s">
        <v>418</v>
      </c>
      <c r="AU42" s="241" t="s">
        <v>416</v>
      </c>
    </row>
    <row r="43" spans="1:47" x14ac:dyDescent="0.2">
      <c r="A43" s="236">
        <v>1</v>
      </c>
      <c r="B43" s="237" t="s">
        <v>302</v>
      </c>
      <c r="C43" s="237" t="s">
        <v>83</v>
      </c>
      <c r="D43" s="237" t="s">
        <v>392</v>
      </c>
      <c r="E43" s="237"/>
      <c r="F43" s="237"/>
      <c r="G43" s="237"/>
      <c r="H43" s="237"/>
      <c r="I43" s="237"/>
      <c r="J43" s="237"/>
      <c r="K43" s="237"/>
      <c r="L43" s="237"/>
      <c r="M43" s="237"/>
      <c r="N43" s="237"/>
      <c r="O43" s="237"/>
      <c r="P43" s="237"/>
      <c r="Q43" s="237"/>
      <c r="R43" s="237"/>
      <c r="S43" s="237"/>
      <c r="T43" s="237"/>
      <c r="U43" s="237"/>
      <c r="V43" s="237"/>
      <c r="W43" s="237"/>
      <c r="X43" s="237"/>
      <c r="Y43" s="237"/>
      <c r="Z43" s="237"/>
      <c r="AA43" s="238">
        <f>SUMIF('4. ERP-BANG LUONG'!E:E,D43,'4. ERP-BANG LUONG'!W:W)+SUMIF('4. ERP-BANG LUONG'!E:E,D43,'4. ERP-BANG LUONG'!X:X)</f>
        <v>6936009.876543209</v>
      </c>
      <c r="AB43" s="238" t="s">
        <v>396</v>
      </c>
      <c r="AC43" s="238"/>
      <c r="AD43" s="237"/>
      <c r="AE43" s="237"/>
      <c r="AF43" s="237"/>
      <c r="AG43" s="237"/>
      <c r="AH43" s="237"/>
      <c r="AI43" s="237"/>
      <c r="AJ43" s="237"/>
      <c r="AK43" s="237"/>
      <c r="AL43" s="237"/>
      <c r="AM43" s="237"/>
      <c r="AN43" s="237"/>
      <c r="AO43" s="237"/>
      <c r="AP43" s="237"/>
      <c r="AQ43" s="237"/>
      <c r="AR43" s="237"/>
      <c r="AS43" s="238">
        <f t="shared" ref="AS43:AS54" si="6">SUMIF($I$23:$AQ$23,"Lương cứng",$I43:$AQ43)</f>
        <v>0</v>
      </c>
      <c r="AT43" s="238">
        <f t="shared" ref="AT43:AT54" si="7">SUMIF($I$4:$AQ$4,"Margin",$I43:$AQ43)</f>
        <v>0</v>
      </c>
      <c r="AU43" s="237"/>
    </row>
    <row r="44" spans="1:47" x14ac:dyDescent="0.2">
      <c r="A44" s="235"/>
      <c r="B44" s="218" t="s">
        <v>302</v>
      </c>
      <c r="C44" s="218" t="s">
        <v>83</v>
      </c>
      <c r="D44" s="218" t="s">
        <v>392</v>
      </c>
      <c r="G44" s="218" t="s">
        <v>85</v>
      </c>
      <c r="I44" s="234">
        <f>SUMIFS(I$24:I$38,$D$24:$D$38,$D44,$G$24:$G$38,$G44)</f>
        <v>0</v>
      </c>
      <c r="J44" s="234">
        <f t="shared" ref="J44:AG54" si="8">SUMIFS(J$24:J$38,$D$24:$D$38,$D44,$G$24:$G$38,$G44)</f>
        <v>0</v>
      </c>
      <c r="K44" s="245" t="e">
        <f>I44/J44</f>
        <v>#DIV/0!</v>
      </c>
      <c r="L44" s="234">
        <f t="shared" si="8"/>
        <v>0</v>
      </c>
      <c r="M44" s="234">
        <f t="shared" si="8"/>
        <v>0</v>
      </c>
      <c r="N44" s="245" t="e">
        <f>L44/M44</f>
        <v>#DIV/0!</v>
      </c>
      <c r="O44" s="234">
        <f t="shared" si="8"/>
        <v>0</v>
      </c>
      <c r="P44" s="234">
        <f t="shared" si="8"/>
        <v>0</v>
      </c>
      <c r="Q44" s="245" t="e">
        <f>O44/P44</f>
        <v>#DIV/0!</v>
      </c>
      <c r="R44" s="234">
        <f t="shared" si="8"/>
        <v>0</v>
      </c>
      <c r="S44" s="234">
        <f t="shared" si="8"/>
        <v>0</v>
      </c>
      <c r="T44" s="245" t="e">
        <f>R44/S44</f>
        <v>#DIV/0!</v>
      </c>
      <c r="U44" s="234">
        <f t="shared" si="8"/>
        <v>0</v>
      </c>
      <c r="V44" s="234">
        <f t="shared" si="8"/>
        <v>0</v>
      </c>
      <c r="W44" s="245" t="e">
        <f>U44/V44</f>
        <v>#DIV/0!</v>
      </c>
      <c r="X44" s="234">
        <f t="shared" si="8"/>
        <v>0</v>
      </c>
      <c r="Y44" s="234">
        <f t="shared" si="8"/>
        <v>0</v>
      </c>
      <c r="Z44" s="245" t="e">
        <f>X44/Y44</f>
        <v>#DIV/0!</v>
      </c>
      <c r="AA44" s="234">
        <f t="shared" si="8"/>
        <v>4632898.7654320989</v>
      </c>
      <c r="AB44" s="234">
        <f t="shared" si="8"/>
        <v>0</v>
      </c>
      <c r="AC44" s="245" t="e">
        <f>AA44/AB44</f>
        <v>#DIV/0!</v>
      </c>
      <c r="AD44" s="234">
        <f t="shared" si="8"/>
        <v>0</v>
      </c>
      <c r="AE44" s="234">
        <f t="shared" si="8"/>
        <v>0</v>
      </c>
      <c r="AF44" s="245" t="e">
        <f>AD44/AE44</f>
        <v>#DIV/0!</v>
      </c>
      <c r="AG44" s="234">
        <f t="shared" si="8"/>
        <v>0</v>
      </c>
      <c r="AH44" s="234">
        <f t="shared" ref="AH44:AQ54" si="9">SUMIFS(AH$24:AH$38,$D$24:$D$38,$D44,$G$24:$G$38,$G44)</f>
        <v>0</v>
      </c>
      <c r="AI44" s="245" t="e">
        <f>AG44/AH44</f>
        <v>#DIV/0!</v>
      </c>
      <c r="AJ44" s="234">
        <f t="shared" si="9"/>
        <v>0</v>
      </c>
      <c r="AK44" s="234">
        <f t="shared" si="9"/>
        <v>0</v>
      </c>
      <c r="AL44" s="245" t="e">
        <f>AJ44/AK44</f>
        <v>#DIV/0!</v>
      </c>
      <c r="AM44" s="234">
        <f t="shared" si="9"/>
        <v>0</v>
      </c>
      <c r="AN44" s="234">
        <f t="shared" si="9"/>
        <v>0</v>
      </c>
      <c r="AO44" s="245" t="e">
        <f>AM44/AN44</f>
        <v>#DIV/0!</v>
      </c>
      <c r="AP44" s="234">
        <f t="shared" si="9"/>
        <v>0</v>
      </c>
      <c r="AQ44" s="234">
        <f t="shared" si="9"/>
        <v>0</v>
      </c>
      <c r="AR44" s="245" t="e">
        <f>AP44/AQ44</f>
        <v>#DIV/0!</v>
      </c>
      <c r="AS44" s="234">
        <f t="shared" si="6"/>
        <v>0</v>
      </c>
      <c r="AT44" s="234">
        <f t="shared" si="7"/>
        <v>0</v>
      </c>
      <c r="AU44" s="245" t="e">
        <f>AS44/AT44</f>
        <v>#DIV/0!</v>
      </c>
    </row>
    <row r="45" spans="1:47" x14ac:dyDescent="0.2">
      <c r="A45" s="235"/>
      <c r="B45" s="218" t="s">
        <v>302</v>
      </c>
      <c r="C45" s="218" t="s">
        <v>83</v>
      </c>
      <c r="D45" s="218" t="s">
        <v>392</v>
      </c>
      <c r="G45" s="218" t="s">
        <v>86</v>
      </c>
      <c r="I45" s="234">
        <f t="shared" ref="I45" si="10">SUMIFS(I$24:I$38,$D$24:$D$38,$D45,$G$24:$G$38,$G45)</f>
        <v>0</v>
      </c>
      <c r="J45" s="234">
        <f t="shared" si="8"/>
        <v>0</v>
      </c>
      <c r="K45" s="245" t="e">
        <f>I45/J45</f>
        <v>#DIV/0!</v>
      </c>
      <c r="L45" s="234">
        <f t="shared" si="8"/>
        <v>0</v>
      </c>
      <c r="M45" s="234">
        <f t="shared" si="8"/>
        <v>0</v>
      </c>
      <c r="N45" s="245" t="e">
        <f>L45/M45</f>
        <v>#DIV/0!</v>
      </c>
      <c r="O45" s="234">
        <f t="shared" si="8"/>
        <v>0</v>
      </c>
      <c r="P45" s="234">
        <f t="shared" si="8"/>
        <v>0</v>
      </c>
      <c r="Q45" s="245" t="e">
        <f>O45/P45</f>
        <v>#DIV/0!</v>
      </c>
      <c r="R45" s="234">
        <f t="shared" si="8"/>
        <v>0</v>
      </c>
      <c r="S45" s="234">
        <f t="shared" si="8"/>
        <v>0</v>
      </c>
      <c r="T45" s="245" t="e">
        <f>R45/S45</f>
        <v>#DIV/0!</v>
      </c>
      <c r="U45" s="234">
        <f t="shared" si="8"/>
        <v>0</v>
      </c>
      <c r="V45" s="234">
        <f t="shared" si="8"/>
        <v>0</v>
      </c>
      <c r="W45" s="245" t="e">
        <f>U45/V45</f>
        <v>#DIV/0!</v>
      </c>
      <c r="X45" s="234">
        <f t="shared" si="8"/>
        <v>0</v>
      </c>
      <c r="Y45" s="234">
        <f t="shared" si="8"/>
        <v>0</v>
      </c>
      <c r="Z45" s="245" t="e">
        <f>X45/Y45</f>
        <v>#DIV/0!</v>
      </c>
      <c r="AA45" s="234">
        <f t="shared" si="8"/>
        <v>2303111.111111111</v>
      </c>
      <c r="AB45" s="234">
        <f t="shared" si="8"/>
        <v>0</v>
      </c>
      <c r="AC45" s="245" t="e">
        <f>AA45/AB45</f>
        <v>#DIV/0!</v>
      </c>
      <c r="AD45" s="234">
        <f t="shared" si="8"/>
        <v>0</v>
      </c>
      <c r="AE45" s="234">
        <f t="shared" si="8"/>
        <v>0</v>
      </c>
      <c r="AF45" s="245" t="e">
        <f>AD45/AE45</f>
        <v>#DIV/0!</v>
      </c>
      <c r="AG45" s="234">
        <f t="shared" si="8"/>
        <v>0</v>
      </c>
      <c r="AH45" s="234">
        <f t="shared" si="9"/>
        <v>0</v>
      </c>
      <c r="AI45" s="245" t="e">
        <f>AG45/AH45</f>
        <v>#DIV/0!</v>
      </c>
      <c r="AJ45" s="234">
        <f t="shared" si="9"/>
        <v>0</v>
      </c>
      <c r="AK45" s="234">
        <f t="shared" si="9"/>
        <v>0</v>
      </c>
      <c r="AL45" s="245" t="e">
        <f>AJ45/AK45</f>
        <v>#DIV/0!</v>
      </c>
      <c r="AM45" s="234">
        <f t="shared" si="9"/>
        <v>0</v>
      </c>
      <c r="AN45" s="234">
        <f t="shared" si="9"/>
        <v>0</v>
      </c>
      <c r="AO45" s="245" t="e">
        <f>AM45/AN45</f>
        <v>#DIV/0!</v>
      </c>
      <c r="AP45" s="234">
        <f t="shared" si="9"/>
        <v>0</v>
      </c>
      <c r="AQ45" s="234">
        <f t="shared" si="9"/>
        <v>0</v>
      </c>
      <c r="AR45" s="245" t="e">
        <f>AP45/AQ45</f>
        <v>#DIV/0!</v>
      </c>
      <c r="AS45" s="234">
        <f t="shared" si="6"/>
        <v>0</v>
      </c>
      <c r="AT45" s="234">
        <f t="shared" si="7"/>
        <v>0</v>
      </c>
      <c r="AU45" s="245" t="e">
        <f>AS45/AT45</f>
        <v>#DIV/0!</v>
      </c>
    </row>
    <row r="46" spans="1:47" x14ac:dyDescent="0.2">
      <c r="A46" s="236">
        <v>2</v>
      </c>
      <c r="B46" s="237" t="s">
        <v>302</v>
      </c>
      <c r="C46" s="237" t="s">
        <v>83</v>
      </c>
      <c r="D46" s="237" t="s">
        <v>393</v>
      </c>
      <c r="E46" s="237"/>
      <c r="F46" s="237"/>
      <c r="G46" s="237"/>
      <c r="H46" s="237"/>
      <c r="I46" s="237"/>
      <c r="J46" s="237"/>
      <c r="K46" s="237"/>
      <c r="L46" s="237"/>
      <c r="M46" s="237"/>
      <c r="N46" s="237"/>
      <c r="O46" s="237"/>
      <c r="P46" s="237"/>
      <c r="Q46" s="237"/>
      <c r="R46" s="237"/>
      <c r="S46" s="237"/>
      <c r="T46" s="237"/>
      <c r="U46" s="237"/>
      <c r="V46" s="237"/>
      <c r="W46" s="237"/>
      <c r="X46" s="237"/>
      <c r="Y46" s="237"/>
      <c r="Z46" s="237"/>
      <c r="AA46" s="238">
        <f>SUMIF('4. ERP-BANG LUONG'!E:E,D46,'4. ERP-BANG LUONG'!W:W)+SUMIF('4. ERP-BANG LUONG'!E:E,D46,'4. ERP-BANG LUONG'!X:X)</f>
        <v>18237012.345679011</v>
      </c>
      <c r="AB46" s="238" t="s">
        <v>396</v>
      </c>
      <c r="AC46" s="237"/>
      <c r="AD46" s="237"/>
      <c r="AE46" s="237"/>
      <c r="AF46" s="237"/>
      <c r="AG46" s="237"/>
      <c r="AH46" s="237"/>
      <c r="AI46" s="237"/>
      <c r="AJ46" s="237"/>
      <c r="AK46" s="237"/>
      <c r="AL46" s="237"/>
      <c r="AM46" s="237"/>
      <c r="AN46" s="237"/>
      <c r="AO46" s="237"/>
      <c r="AP46" s="237"/>
      <c r="AQ46" s="237"/>
      <c r="AR46" s="237"/>
      <c r="AS46" s="238">
        <f t="shared" si="6"/>
        <v>0</v>
      </c>
      <c r="AT46" s="238">
        <f t="shared" si="7"/>
        <v>0</v>
      </c>
      <c r="AU46" s="237"/>
    </row>
    <row r="47" spans="1:47" x14ac:dyDescent="0.2">
      <c r="A47" s="235"/>
      <c r="B47" s="218" t="s">
        <v>302</v>
      </c>
      <c r="C47" s="218" t="s">
        <v>83</v>
      </c>
      <c r="D47" s="218" t="s">
        <v>393</v>
      </c>
      <c r="G47" s="218" t="s">
        <v>85</v>
      </c>
      <c r="I47" s="234">
        <f>SUMIFS(I$24:I$38,$D$24:$D$38,$D47,$G$24:$G$38,$G47)</f>
        <v>0</v>
      </c>
      <c r="J47" s="234">
        <f t="shared" si="8"/>
        <v>0</v>
      </c>
      <c r="K47" s="245" t="e">
        <f>I47/J47</f>
        <v>#DIV/0!</v>
      </c>
      <c r="L47" s="234">
        <f t="shared" si="8"/>
        <v>0</v>
      </c>
      <c r="M47" s="234">
        <f t="shared" si="8"/>
        <v>0</v>
      </c>
      <c r="N47" s="245" t="e">
        <f>L47/M47</f>
        <v>#DIV/0!</v>
      </c>
      <c r="O47" s="234">
        <f t="shared" si="8"/>
        <v>0</v>
      </c>
      <c r="P47" s="234">
        <f t="shared" si="8"/>
        <v>0</v>
      </c>
      <c r="Q47" s="245" t="e">
        <f>O47/P47</f>
        <v>#DIV/0!</v>
      </c>
      <c r="R47" s="234">
        <f t="shared" si="8"/>
        <v>0</v>
      </c>
      <c r="S47" s="234">
        <f t="shared" si="8"/>
        <v>0</v>
      </c>
      <c r="T47" s="245" t="e">
        <f>R47/S47</f>
        <v>#DIV/0!</v>
      </c>
      <c r="U47" s="234">
        <f t="shared" si="8"/>
        <v>0</v>
      </c>
      <c r="V47" s="234">
        <f t="shared" si="8"/>
        <v>0</v>
      </c>
      <c r="W47" s="245" t="e">
        <f>U47/V47</f>
        <v>#DIV/0!</v>
      </c>
      <c r="X47" s="234">
        <f t="shared" si="8"/>
        <v>0</v>
      </c>
      <c r="Y47" s="234">
        <f t="shared" si="8"/>
        <v>0</v>
      </c>
      <c r="Z47" s="245" t="e">
        <f>X47/Y47</f>
        <v>#DIV/0!</v>
      </c>
      <c r="AA47" s="234">
        <f t="shared" si="8"/>
        <v>3348666.6666666665</v>
      </c>
      <c r="AB47" s="234">
        <f t="shared" si="8"/>
        <v>0</v>
      </c>
      <c r="AC47" s="245" t="e">
        <f>AA47/AB47</f>
        <v>#DIV/0!</v>
      </c>
      <c r="AD47" s="234">
        <f t="shared" si="8"/>
        <v>0</v>
      </c>
      <c r="AE47" s="234">
        <f t="shared" si="8"/>
        <v>0</v>
      </c>
      <c r="AF47" s="245" t="e">
        <f>AD47/AE47</f>
        <v>#DIV/0!</v>
      </c>
      <c r="AG47" s="234">
        <f t="shared" si="8"/>
        <v>0</v>
      </c>
      <c r="AH47" s="234">
        <f t="shared" si="9"/>
        <v>0</v>
      </c>
      <c r="AI47" s="245" t="e">
        <f>AG47/AH47</f>
        <v>#DIV/0!</v>
      </c>
      <c r="AJ47" s="234">
        <f t="shared" si="9"/>
        <v>0</v>
      </c>
      <c r="AK47" s="234">
        <f t="shared" si="9"/>
        <v>0</v>
      </c>
      <c r="AL47" s="245" t="e">
        <f>AJ47/AK47</f>
        <v>#DIV/0!</v>
      </c>
      <c r="AM47" s="234">
        <f t="shared" si="9"/>
        <v>0</v>
      </c>
      <c r="AN47" s="234">
        <f t="shared" si="9"/>
        <v>0</v>
      </c>
      <c r="AO47" s="245" t="e">
        <f>AM47/AN47</f>
        <v>#DIV/0!</v>
      </c>
      <c r="AP47" s="234">
        <f t="shared" si="9"/>
        <v>0</v>
      </c>
      <c r="AQ47" s="234">
        <f t="shared" si="9"/>
        <v>0</v>
      </c>
      <c r="AR47" s="245" t="e">
        <f>AP47/AQ47</f>
        <v>#DIV/0!</v>
      </c>
      <c r="AS47" s="234">
        <f t="shared" si="6"/>
        <v>0</v>
      </c>
      <c r="AT47" s="234">
        <f t="shared" si="7"/>
        <v>0</v>
      </c>
      <c r="AU47" s="245" t="e">
        <f>AS47/AT47</f>
        <v>#DIV/0!</v>
      </c>
    </row>
    <row r="48" spans="1:47" x14ac:dyDescent="0.2">
      <c r="A48" s="235"/>
      <c r="B48" s="218" t="s">
        <v>302</v>
      </c>
      <c r="C48" s="218" t="s">
        <v>83</v>
      </c>
      <c r="D48" s="218" t="s">
        <v>393</v>
      </c>
      <c r="G48" s="218" t="s">
        <v>86</v>
      </c>
      <c r="I48" s="234">
        <f t="shared" ref="I48" si="11">SUMIFS(I$24:I$38,$D$24:$D$38,$D48,$G$24:$G$38,$G48)</f>
        <v>0</v>
      </c>
      <c r="J48" s="234">
        <f t="shared" si="8"/>
        <v>0</v>
      </c>
      <c r="K48" s="245" t="e">
        <f>I48/J48</f>
        <v>#DIV/0!</v>
      </c>
      <c r="L48" s="234">
        <f t="shared" si="8"/>
        <v>0</v>
      </c>
      <c r="M48" s="234">
        <f t="shared" si="8"/>
        <v>0</v>
      </c>
      <c r="N48" s="245" t="e">
        <f>L48/M48</f>
        <v>#DIV/0!</v>
      </c>
      <c r="O48" s="234">
        <f t="shared" si="8"/>
        <v>0</v>
      </c>
      <c r="P48" s="234">
        <f t="shared" si="8"/>
        <v>0</v>
      </c>
      <c r="Q48" s="245" t="e">
        <f>O48/P48</f>
        <v>#DIV/0!</v>
      </c>
      <c r="R48" s="234">
        <f t="shared" si="8"/>
        <v>0</v>
      </c>
      <c r="S48" s="234">
        <f t="shared" si="8"/>
        <v>0</v>
      </c>
      <c r="T48" s="245" t="e">
        <f>R48/S48</f>
        <v>#DIV/0!</v>
      </c>
      <c r="U48" s="234">
        <f t="shared" si="8"/>
        <v>0</v>
      </c>
      <c r="V48" s="234">
        <f t="shared" si="8"/>
        <v>0</v>
      </c>
      <c r="W48" s="245" t="e">
        <f>U48/V48</f>
        <v>#DIV/0!</v>
      </c>
      <c r="X48" s="234">
        <f t="shared" si="8"/>
        <v>0</v>
      </c>
      <c r="Y48" s="234">
        <f t="shared" si="8"/>
        <v>0</v>
      </c>
      <c r="Z48" s="245" t="e">
        <f>X48/Y48</f>
        <v>#DIV/0!</v>
      </c>
      <c r="AA48" s="234">
        <f t="shared" si="8"/>
        <v>14888345.679012347</v>
      </c>
      <c r="AB48" s="234">
        <f t="shared" si="8"/>
        <v>0</v>
      </c>
      <c r="AC48" s="245" t="e">
        <f>AA48/AB48</f>
        <v>#DIV/0!</v>
      </c>
      <c r="AD48" s="234">
        <f t="shared" si="8"/>
        <v>0</v>
      </c>
      <c r="AE48" s="234">
        <f t="shared" si="8"/>
        <v>0</v>
      </c>
      <c r="AF48" s="245" t="e">
        <f>AD48/AE48</f>
        <v>#DIV/0!</v>
      </c>
      <c r="AG48" s="234">
        <f t="shared" si="8"/>
        <v>0</v>
      </c>
      <c r="AH48" s="234">
        <f t="shared" si="9"/>
        <v>0</v>
      </c>
      <c r="AI48" s="245" t="e">
        <f>AG48/AH48</f>
        <v>#DIV/0!</v>
      </c>
      <c r="AJ48" s="234">
        <f t="shared" si="9"/>
        <v>0</v>
      </c>
      <c r="AK48" s="234">
        <f t="shared" si="9"/>
        <v>0</v>
      </c>
      <c r="AL48" s="245" t="e">
        <f>AJ48/AK48</f>
        <v>#DIV/0!</v>
      </c>
      <c r="AM48" s="234">
        <f t="shared" si="9"/>
        <v>0</v>
      </c>
      <c r="AN48" s="234">
        <f t="shared" si="9"/>
        <v>0</v>
      </c>
      <c r="AO48" s="245" t="e">
        <f>AM48/AN48</f>
        <v>#DIV/0!</v>
      </c>
      <c r="AP48" s="234">
        <f t="shared" si="9"/>
        <v>0</v>
      </c>
      <c r="AQ48" s="234">
        <f t="shared" si="9"/>
        <v>0</v>
      </c>
      <c r="AR48" s="245" t="e">
        <f>AP48/AQ48</f>
        <v>#DIV/0!</v>
      </c>
      <c r="AS48" s="234">
        <f t="shared" si="6"/>
        <v>0</v>
      </c>
      <c r="AT48" s="234">
        <f t="shared" si="7"/>
        <v>0</v>
      </c>
      <c r="AU48" s="245" t="e">
        <f>AS48/AT48</f>
        <v>#DIV/0!</v>
      </c>
    </row>
    <row r="49" spans="1:47" x14ac:dyDescent="0.2">
      <c r="A49" s="236">
        <v>3</v>
      </c>
      <c r="B49" s="237" t="s">
        <v>302</v>
      </c>
      <c r="C49" s="237" t="s">
        <v>43</v>
      </c>
      <c r="D49" s="237" t="s">
        <v>395</v>
      </c>
      <c r="E49" s="237"/>
      <c r="F49" s="237"/>
      <c r="G49" s="237"/>
      <c r="H49" s="237"/>
      <c r="I49" s="237"/>
      <c r="J49" s="237"/>
      <c r="K49" s="237"/>
      <c r="L49" s="237"/>
      <c r="M49" s="237"/>
      <c r="N49" s="237"/>
      <c r="O49" s="237"/>
      <c r="P49" s="237"/>
      <c r="Q49" s="237"/>
      <c r="R49" s="237"/>
      <c r="S49" s="237"/>
      <c r="T49" s="237"/>
      <c r="U49" s="237"/>
      <c r="V49" s="237"/>
      <c r="W49" s="237"/>
      <c r="X49" s="237"/>
      <c r="Y49" s="237"/>
      <c r="Z49" s="237"/>
      <c r="AA49" s="238">
        <f>SUMIF('4. ERP-BANG LUONG'!E:E,D49,'4. ERP-BANG LUONG'!W:W)+SUMIF('4. ERP-BANG LUONG'!E:E,D49,'4. ERP-BANG LUONG'!X:X)</f>
        <v>24936666.666666668</v>
      </c>
      <c r="AB49" s="238" t="s">
        <v>396</v>
      </c>
      <c r="AC49" s="237"/>
      <c r="AD49" s="237"/>
      <c r="AE49" s="237"/>
      <c r="AF49" s="237"/>
      <c r="AG49" s="237"/>
      <c r="AH49" s="237"/>
      <c r="AI49" s="237"/>
      <c r="AJ49" s="237"/>
      <c r="AK49" s="237"/>
      <c r="AL49" s="237"/>
      <c r="AM49" s="237"/>
      <c r="AN49" s="237"/>
      <c r="AO49" s="237"/>
      <c r="AP49" s="237"/>
      <c r="AQ49" s="237"/>
      <c r="AR49" s="237"/>
      <c r="AS49" s="238">
        <f t="shared" si="6"/>
        <v>0</v>
      </c>
      <c r="AT49" s="238">
        <f t="shared" si="7"/>
        <v>0</v>
      </c>
      <c r="AU49" s="237"/>
    </row>
    <row r="50" spans="1:47" x14ac:dyDescent="0.2">
      <c r="A50" s="235"/>
      <c r="B50" s="218" t="s">
        <v>302</v>
      </c>
      <c r="C50" s="218" t="s">
        <v>43</v>
      </c>
      <c r="D50" s="218" t="s">
        <v>395</v>
      </c>
      <c r="G50" s="218" t="s">
        <v>85</v>
      </c>
      <c r="I50" s="234">
        <f>SUMIFS(I$24:I$38,$D$24:$D$38,$D50,$G$24:$G$38,$G50)</f>
        <v>0</v>
      </c>
      <c r="J50" s="234">
        <f t="shared" si="8"/>
        <v>0</v>
      </c>
      <c r="K50" s="245" t="e">
        <f>I50/J50</f>
        <v>#DIV/0!</v>
      </c>
      <c r="L50" s="234">
        <f t="shared" si="8"/>
        <v>0</v>
      </c>
      <c r="M50" s="234">
        <f t="shared" si="8"/>
        <v>0</v>
      </c>
      <c r="N50" s="245" t="e">
        <f>L50/M50</f>
        <v>#DIV/0!</v>
      </c>
      <c r="O50" s="234">
        <f t="shared" si="8"/>
        <v>0</v>
      </c>
      <c r="P50" s="234">
        <f t="shared" si="8"/>
        <v>0</v>
      </c>
      <c r="Q50" s="245" t="e">
        <f>O50/P50</f>
        <v>#DIV/0!</v>
      </c>
      <c r="R50" s="234">
        <f t="shared" si="8"/>
        <v>0</v>
      </c>
      <c r="S50" s="234">
        <f t="shared" si="8"/>
        <v>0</v>
      </c>
      <c r="T50" s="245" t="e">
        <f>R50/S50</f>
        <v>#DIV/0!</v>
      </c>
      <c r="U50" s="234">
        <f t="shared" si="8"/>
        <v>0</v>
      </c>
      <c r="V50" s="234">
        <f t="shared" si="8"/>
        <v>0</v>
      </c>
      <c r="W50" s="245" t="e">
        <f>U50/V50</f>
        <v>#DIV/0!</v>
      </c>
      <c r="X50" s="234">
        <f t="shared" si="8"/>
        <v>0</v>
      </c>
      <c r="Y50" s="234">
        <f t="shared" si="8"/>
        <v>0</v>
      </c>
      <c r="Z50" s="245" t="e">
        <f>X50/Y50</f>
        <v>#DIV/0!</v>
      </c>
      <c r="AA50" s="234">
        <f t="shared" si="8"/>
        <v>6760000</v>
      </c>
      <c r="AB50" s="234">
        <f t="shared" si="8"/>
        <v>0</v>
      </c>
      <c r="AC50" s="245" t="e">
        <f>AA50/AB50</f>
        <v>#DIV/0!</v>
      </c>
      <c r="AD50" s="234">
        <f t="shared" si="8"/>
        <v>0</v>
      </c>
      <c r="AE50" s="234">
        <f t="shared" si="8"/>
        <v>0</v>
      </c>
      <c r="AF50" s="245" t="e">
        <f>AD50/AE50</f>
        <v>#DIV/0!</v>
      </c>
      <c r="AG50" s="234">
        <f t="shared" si="8"/>
        <v>0</v>
      </c>
      <c r="AH50" s="234">
        <f t="shared" si="9"/>
        <v>0</v>
      </c>
      <c r="AI50" s="245" t="e">
        <f>AG50/AH50</f>
        <v>#DIV/0!</v>
      </c>
      <c r="AJ50" s="234">
        <f t="shared" si="9"/>
        <v>0</v>
      </c>
      <c r="AK50" s="234">
        <f t="shared" si="9"/>
        <v>0</v>
      </c>
      <c r="AL50" s="245" t="e">
        <f>AJ50/AK50</f>
        <v>#DIV/0!</v>
      </c>
      <c r="AM50" s="234">
        <f t="shared" si="9"/>
        <v>0</v>
      </c>
      <c r="AN50" s="234">
        <f t="shared" si="9"/>
        <v>0</v>
      </c>
      <c r="AO50" s="245" t="e">
        <f>AM50/AN50</f>
        <v>#DIV/0!</v>
      </c>
      <c r="AP50" s="234">
        <f t="shared" si="9"/>
        <v>0</v>
      </c>
      <c r="AQ50" s="234">
        <f t="shared" si="9"/>
        <v>0</v>
      </c>
      <c r="AR50" s="245" t="e">
        <f>AP50/AQ50</f>
        <v>#DIV/0!</v>
      </c>
      <c r="AS50" s="234">
        <f t="shared" si="6"/>
        <v>0</v>
      </c>
      <c r="AT50" s="234">
        <f t="shared" si="7"/>
        <v>0</v>
      </c>
      <c r="AU50" s="245" t="e">
        <f>AS50/AT50</f>
        <v>#DIV/0!</v>
      </c>
    </row>
    <row r="51" spans="1:47" x14ac:dyDescent="0.2">
      <c r="A51" s="235"/>
      <c r="B51" s="218" t="s">
        <v>302</v>
      </c>
      <c r="C51" s="218" t="s">
        <v>43</v>
      </c>
      <c r="D51" s="218" t="s">
        <v>395</v>
      </c>
      <c r="G51" s="218" t="s">
        <v>86</v>
      </c>
      <c r="I51" s="234">
        <f t="shared" ref="I51" si="12">SUMIFS(I$24:I$38,$D$24:$D$38,$D51,$G$24:$G$38,$G51)</f>
        <v>0</v>
      </c>
      <c r="J51" s="234">
        <f t="shared" si="8"/>
        <v>0</v>
      </c>
      <c r="K51" s="245" t="e">
        <f>I51/J51</f>
        <v>#DIV/0!</v>
      </c>
      <c r="L51" s="234">
        <f t="shared" si="8"/>
        <v>0</v>
      </c>
      <c r="M51" s="234">
        <f t="shared" si="8"/>
        <v>0</v>
      </c>
      <c r="N51" s="245" t="e">
        <f>L51/M51</f>
        <v>#DIV/0!</v>
      </c>
      <c r="O51" s="234">
        <f t="shared" si="8"/>
        <v>0</v>
      </c>
      <c r="P51" s="234">
        <f t="shared" si="8"/>
        <v>0</v>
      </c>
      <c r="Q51" s="245" t="e">
        <f>O51/P51</f>
        <v>#DIV/0!</v>
      </c>
      <c r="R51" s="234">
        <f t="shared" si="8"/>
        <v>0</v>
      </c>
      <c r="S51" s="234">
        <f t="shared" si="8"/>
        <v>0</v>
      </c>
      <c r="T51" s="245" t="e">
        <f>R51/S51</f>
        <v>#DIV/0!</v>
      </c>
      <c r="U51" s="234">
        <f t="shared" si="8"/>
        <v>0</v>
      </c>
      <c r="V51" s="234">
        <f t="shared" si="8"/>
        <v>0</v>
      </c>
      <c r="W51" s="245" t="e">
        <f>U51/V51</f>
        <v>#DIV/0!</v>
      </c>
      <c r="X51" s="234">
        <f t="shared" si="8"/>
        <v>0</v>
      </c>
      <c r="Y51" s="234">
        <f t="shared" si="8"/>
        <v>0</v>
      </c>
      <c r="Z51" s="245" t="e">
        <f>X51/Y51</f>
        <v>#DIV/0!</v>
      </c>
      <c r="AA51" s="234">
        <f t="shared" si="8"/>
        <v>18176666.666666668</v>
      </c>
      <c r="AB51" s="234">
        <f t="shared" si="8"/>
        <v>0</v>
      </c>
      <c r="AC51" s="245" t="e">
        <f>AA51/AB51</f>
        <v>#DIV/0!</v>
      </c>
      <c r="AD51" s="234">
        <f t="shared" si="8"/>
        <v>0</v>
      </c>
      <c r="AE51" s="234">
        <f t="shared" si="8"/>
        <v>0</v>
      </c>
      <c r="AF51" s="245" t="e">
        <f>AD51/AE51</f>
        <v>#DIV/0!</v>
      </c>
      <c r="AG51" s="234">
        <f t="shared" si="8"/>
        <v>0</v>
      </c>
      <c r="AH51" s="234">
        <f t="shared" si="9"/>
        <v>0</v>
      </c>
      <c r="AI51" s="245" t="e">
        <f>AG51/AH51</f>
        <v>#DIV/0!</v>
      </c>
      <c r="AJ51" s="234">
        <f t="shared" si="9"/>
        <v>0</v>
      </c>
      <c r="AK51" s="234">
        <f t="shared" si="9"/>
        <v>0</v>
      </c>
      <c r="AL51" s="245" t="e">
        <f>AJ51/AK51</f>
        <v>#DIV/0!</v>
      </c>
      <c r="AM51" s="234">
        <f t="shared" si="9"/>
        <v>0</v>
      </c>
      <c r="AN51" s="234">
        <f t="shared" si="9"/>
        <v>0</v>
      </c>
      <c r="AO51" s="245" t="e">
        <f>AM51/AN51</f>
        <v>#DIV/0!</v>
      </c>
      <c r="AP51" s="234">
        <f t="shared" si="9"/>
        <v>0</v>
      </c>
      <c r="AQ51" s="234">
        <f t="shared" si="9"/>
        <v>0</v>
      </c>
      <c r="AR51" s="245" t="e">
        <f>AP51/AQ51</f>
        <v>#DIV/0!</v>
      </c>
      <c r="AS51" s="234">
        <f t="shared" si="6"/>
        <v>0</v>
      </c>
      <c r="AT51" s="234">
        <f t="shared" si="7"/>
        <v>0</v>
      </c>
      <c r="AU51" s="245" t="e">
        <f>AS51/AT51</f>
        <v>#DIV/0!</v>
      </c>
    </row>
    <row r="52" spans="1:47" x14ac:dyDescent="0.2">
      <c r="A52" s="236">
        <v>4</v>
      </c>
      <c r="B52" s="237" t="s">
        <v>302</v>
      </c>
      <c r="C52" s="237" t="s">
        <v>83</v>
      </c>
      <c r="D52" s="237" t="s">
        <v>394</v>
      </c>
      <c r="E52" s="237"/>
      <c r="F52" s="237"/>
      <c r="G52" s="237"/>
      <c r="H52" s="237"/>
      <c r="I52" s="237"/>
      <c r="J52" s="237"/>
      <c r="K52" s="237"/>
      <c r="L52" s="237"/>
      <c r="M52" s="237"/>
      <c r="N52" s="237"/>
      <c r="O52" s="237"/>
      <c r="P52" s="237"/>
      <c r="Q52" s="237"/>
      <c r="R52" s="237"/>
      <c r="S52" s="237"/>
      <c r="T52" s="237"/>
      <c r="U52" s="237"/>
      <c r="V52" s="237"/>
      <c r="W52" s="237"/>
      <c r="X52" s="237"/>
      <c r="Y52" s="237"/>
      <c r="Z52" s="237"/>
      <c r="AA52" s="238">
        <f>SUMIF('4. ERP-BANG LUONG'!E:E,D52,'4. ERP-BANG LUONG'!W:W)+SUMIF('4. ERP-BANG LUONG'!E:E,D52,'4. ERP-BANG LUONG'!X:X)</f>
        <v>21610000</v>
      </c>
      <c r="AB52" s="238" t="s">
        <v>396</v>
      </c>
      <c r="AC52" s="237"/>
      <c r="AD52" s="237"/>
      <c r="AE52" s="237"/>
      <c r="AF52" s="237"/>
      <c r="AG52" s="237"/>
      <c r="AH52" s="237"/>
      <c r="AI52" s="237"/>
      <c r="AJ52" s="237"/>
      <c r="AK52" s="237"/>
      <c r="AL52" s="237"/>
      <c r="AM52" s="237"/>
      <c r="AN52" s="237"/>
      <c r="AO52" s="237"/>
      <c r="AP52" s="237"/>
      <c r="AQ52" s="237"/>
      <c r="AR52" s="237"/>
      <c r="AS52" s="238">
        <f t="shared" si="6"/>
        <v>0</v>
      </c>
      <c r="AT52" s="238">
        <f t="shared" si="7"/>
        <v>0</v>
      </c>
      <c r="AU52" s="237"/>
    </row>
    <row r="53" spans="1:47" x14ac:dyDescent="0.2">
      <c r="B53" s="218" t="s">
        <v>302</v>
      </c>
      <c r="C53" s="218" t="s">
        <v>83</v>
      </c>
      <c r="D53" s="218" t="s">
        <v>394</v>
      </c>
      <c r="G53" s="218" t="s">
        <v>85</v>
      </c>
      <c r="I53" s="234">
        <f>SUMIFS(I$24:I$38,$D$24:$D$38,$D53,$G$24:$G$38,$G53)</f>
        <v>0</v>
      </c>
      <c r="J53" s="234">
        <f t="shared" si="8"/>
        <v>0</v>
      </c>
      <c r="K53" s="245" t="e">
        <f>I53/J53</f>
        <v>#DIV/0!</v>
      </c>
      <c r="L53" s="234">
        <f t="shared" si="8"/>
        <v>0</v>
      </c>
      <c r="M53" s="234">
        <f t="shared" si="8"/>
        <v>0</v>
      </c>
      <c r="N53" s="245" t="e">
        <f>L53/M53</f>
        <v>#DIV/0!</v>
      </c>
      <c r="O53" s="234">
        <f t="shared" si="8"/>
        <v>0</v>
      </c>
      <c r="P53" s="234">
        <f t="shared" si="8"/>
        <v>0</v>
      </c>
      <c r="Q53" s="245" t="e">
        <f>O53/P53</f>
        <v>#DIV/0!</v>
      </c>
      <c r="R53" s="234">
        <f t="shared" si="8"/>
        <v>0</v>
      </c>
      <c r="S53" s="234">
        <f t="shared" si="8"/>
        <v>0</v>
      </c>
      <c r="T53" s="245" t="e">
        <f>R53/S53</f>
        <v>#DIV/0!</v>
      </c>
      <c r="U53" s="234">
        <f t="shared" si="8"/>
        <v>0</v>
      </c>
      <c r="V53" s="234">
        <f t="shared" si="8"/>
        <v>0</v>
      </c>
      <c r="W53" s="245" t="e">
        <f>U53/V53</f>
        <v>#DIV/0!</v>
      </c>
      <c r="X53" s="234">
        <f t="shared" si="8"/>
        <v>0</v>
      </c>
      <c r="Y53" s="234">
        <f t="shared" si="8"/>
        <v>0</v>
      </c>
      <c r="Z53" s="245" t="e">
        <f>X53/Y53</f>
        <v>#DIV/0!</v>
      </c>
      <c r="AA53" s="234">
        <f t="shared" si="8"/>
        <v>10210000</v>
      </c>
      <c r="AB53" s="234">
        <f t="shared" si="8"/>
        <v>0</v>
      </c>
      <c r="AC53" s="245" t="e">
        <f>AA53/AB53</f>
        <v>#DIV/0!</v>
      </c>
      <c r="AD53" s="234">
        <f t="shared" si="8"/>
        <v>0</v>
      </c>
      <c r="AE53" s="234">
        <f t="shared" si="8"/>
        <v>0</v>
      </c>
      <c r="AF53" s="245" t="e">
        <f>AD53/AE53</f>
        <v>#DIV/0!</v>
      </c>
      <c r="AG53" s="234">
        <f t="shared" si="8"/>
        <v>0</v>
      </c>
      <c r="AH53" s="234">
        <f t="shared" si="9"/>
        <v>0</v>
      </c>
      <c r="AI53" s="245" t="e">
        <f>AG53/AH53</f>
        <v>#DIV/0!</v>
      </c>
      <c r="AJ53" s="234">
        <f t="shared" si="9"/>
        <v>0</v>
      </c>
      <c r="AK53" s="234">
        <f t="shared" si="9"/>
        <v>0</v>
      </c>
      <c r="AL53" s="245" t="e">
        <f>AJ53/AK53</f>
        <v>#DIV/0!</v>
      </c>
      <c r="AM53" s="234">
        <f t="shared" si="9"/>
        <v>0</v>
      </c>
      <c r="AN53" s="234">
        <f t="shared" si="9"/>
        <v>0</v>
      </c>
      <c r="AO53" s="245" t="e">
        <f>AM53/AN53</f>
        <v>#DIV/0!</v>
      </c>
      <c r="AP53" s="234">
        <f t="shared" si="9"/>
        <v>0</v>
      </c>
      <c r="AQ53" s="234">
        <f t="shared" si="9"/>
        <v>0</v>
      </c>
      <c r="AR53" s="245" t="e">
        <f>AP53/AQ53</f>
        <v>#DIV/0!</v>
      </c>
      <c r="AS53" s="234">
        <f t="shared" si="6"/>
        <v>0</v>
      </c>
      <c r="AT53" s="234">
        <f t="shared" si="7"/>
        <v>0</v>
      </c>
      <c r="AU53" s="245" t="e">
        <f>AS53/AT53</f>
        <v>#DIV/0!</v>
      </c>
    </row>
    <row r="54" spans="1:47" x14ac:dyDescent="0.2">
      <c r="B54" s="218" t="s">
        <v>302</v>
      </c>
      <c r="C54" s="218" t="s">
        <v>83</v>
      </c>
      <c r="D54" s="218" t="s">
        <v>394</v>
      </c>
      <c r="G54" s="218" t="s">
        <v>86</v>
      </c>
      <c r="I54" s="234">
        <f t="shared" ref="I54" si="13">SUMIFS(I$24:I$38,$D$24:$D$38,$D54,$G$24:$G$38,$G54)</f>
        <v>0</v>
      </c>
      <c r="J54" s="234">
        <f t="shared" si="8"/>
        <v>0</v>
      </c>
      <c r="K54" s="245" t="e">
        <f>I54/J54</f>
        <v>#DIV/0!</v>
      </c>
      <c r="L54" s="234">
        <f t="shared" si="8"/>
        <v>0</v>
      </c>
      <c r="M54" s="234">
        <f t="shared" si="8"/>
        <v>0</v>
      </c>
      <c r="N54" s="245" t="e">
        <f>L54/M54</f>
        <v>#DIV/0!</v>
      </c>
      <c r="O54" s="234">
        <f t="shared" si="8"/>
        <v>0</v>
      </c>
      <c r="P54" s="234">
        <f t="shared" si="8"/>
        <v>0</v>
      </c>
      <c r="Q54" s="245" t="e">
        <f>O54/P54</f>
        <v>#DIV/0!</v>
      </c>
      <c r="R54" s="234">
        <f t="shared" si="8"/>
        <v>0</v>
      </c>
      <c r="S54" s="234">
        <f t="shared" si="8"/>
        <v>0</v>
      </c>
      <c r="T54" s="245" t="e">
        <f>R54/S54</f>
        <v>#DIV/0!</v>
      </c>
      <c r="U54" s="234">
        <f t="shared" si="8"/>
        <v>0</v>
      </c>
      <c r="V54" s="234">
        <f t="shared" si="8"/>
        <v>0</v>
      </c>
      <c r="W54" s="245" t="e">
        <f>U54/V54</f>
        <v>#DIV/0!</v>
      </c>
      <c r="X54" s="234">
        <f t="shared" si="8"/>
        <v>0</v>
      </c>
      <c r="Y54" s="234">
        <f t="shared" si="8"/>
        <v>0</v>
      </c>
      <c r="Z54" s="245" t="e">
        <f>X54/Y54</f>
        <v>#DIV/0!</v>
      </c>
      <c r="AA54" s="234">
        <f t="shared" si="8"/>
        <v>11400000</v>
      </c>
      <c r="AB54" s="234">
        <f t="shared" si="8"/>
        <v>0</v>
      </c>
      <c r="AC54" s="245" t="e">
        <f>AA54/AB54</f>
        <v>#DIV/0!</v>
      </c>
      <c r="AD54" s="234">
        <f t="shared" si="8"/>
        <v>0</v>
      </c>
      <c r="AE54" s="234">
        <f t="shared" si="8"/>
        <v>0</v>
      </c>
      <c r="AF54" s="245" t="e">
        <f>AD54/AE54</f>
        <v>#DIV/0!</v>
      </c>
      <c r="AG54" s="234">
        <f t="shared" si="8"/>
        <v>0</v>
      </c>
      <c r="AH54" s="234">
        <f t="shared" si="9"/>
        <v>0</v>
      </c>
      <c r="AI54" s="245" t="e">
        <f>AG54/AH54</f>
        <v>#DIV/0!</v>
      </c>
      <c r="AJ54" s="234">
        <f t="shared" si="9"/>
        <v>0</v>
      </c>
      <c r="AK54" s="234">
        <f t="shared" si="9"/>
        <v>0</v>
      </c>
      <c r="AL54" s="245" t="e">
        <f>AJ54/AK54</f>
        <v>#DIV/0!</v>
      </c>
      <c r="AM54" s="234">
        <f t="shared" si="9"/>
        <v>0</v>
      </c>
      <c r="AN54" s="234">
        <f t="shared" si="9"/>
        <v>0</v>
      </c>
      <c r="AO54" s="245" t="e">
        <f>AM54/AN54</f>
        <v>#DIV/0!</v>
      </c>
      <c r="AP54" s="234">
        <f t="shared" si="9"/>
        <v>0</v>
      </c>
      <c r="AQ54" s="234">
        <f t="shared" si="9"/>
        <v>0</v>
      </c>
      <c r="AR54" s="245" t="e">
        <f>AP54/AQ54</f>
        <v>#DIV/0!</v>
      </c>
      <c r="AS54" s="234">
        <f t="shared" si="6"/>
        <v>0</v>
      </c>
      <c r="AT54" s="234">
        <f t="shared" si="7"/>
        <v>0</v>
      </c>
      <c r="AU54" s="245" t="e">
        <f>AS54/AT54</f>
        <v>#DIV/0!</v>
      </c>
    </row>
    <row r="55" spans="1:47" x14ac:dyDescent="0.2">
      <c r="A55" s="239" t="s">
        <v>250</v>
      </c>
      <c r="B55" s="238"/>
      <c r="C55" s="238"/>
      <c r="D55" s="238"/>
      <c r="E55" s="238"/>
      <c r="F55" s="238"/>
      <c r="G55" s="238"/>
      <c r="H55" s="238"/>
      <c r="I55" s="238">
        <f>SUM(I43,I46,I49,I52)</f>
        <v>0</v>
      </c>
      <c r="J55" s="238">
        <f>SUM(J43,J46,J49,J52)</f>
        <v>0</v>
      </c>
      <c r="K55" s="238"/>
      <c r="L55" s="238">
        <f>SUM(L43,L46,L49,L52)</f>
        <v>0</v>
      </c>
      <c r="M55" s="238">
        <f>SUM(M43,M46,M49,M52)</f>
        <v>0</v>
      </c>
      <c r="N55" s="238"/>
      <c r="O55" s="238">
        <f>SUM(O43,O46,O49,O52)</f>
        <v>0</v>
      </c>
      <c r="P55" s="238">
        <f>SUM(P43,P46,P49,P52)</f>
        <v>0</v>
      </c>
      <c r="Q55" s="238"/>
      <c r="R55" s="238">
        <f>SUM(R43,R46,R49,R52)</f>
        <v>0</v>
      </c>
      <c r="S55" s="238">
        <f>SUM(S43,S46,S49,S52)</f>
        <v>0</v>
      </c>
      <c r="T55" s="238"/>
      <c r="U55" s="238">
        <f>SUM(U43,U46,U49,U52)</f>
        <v>0</v>
      </c>
      <c r="V55" s="238">
        <f>SUM(V43,V46,V49,V52)</f>
        <v>0</v>
      </c>
      <c r="W55" s="238"/>
      <c r="X55" s="238">
        <f>SUM(X43,X46,X49,X52)</f>
        <v>0</v>
      </c>
      <c r="Y55" s="238">
        <f>SUM(Y43,Y46,Y49,Y52)</f>
        <v>0</v>
      </c>
      <c r="Z55" s="238"/>
      <c r="AA55" s="238">
        <f>SUM(AA43,AA46,AA49,AA52)</f>
        <v>71719688.888888896</v>
      </c>
      <c r="AB55" s="238">
        <f>SUM(AB43,AB46,AB49,AB52)</f>
        <v>0</v>
      </c>
      <c r="AC55" s="238"/>
      <c r="AD55" s="238">
        <f>SUM(AD43,AD46,AD49,AD52)</f>
        <v>0</v>
      </c>
      <c r="AE55" s="238">
        <f>SUM(AE43,AE46,AE49,AE52)</f>
        <v>0</v>
      </c>
      <c r="AF55" s="238"/>
      <c r="AG55" s="238">
        <f>SUM(AG43,AG46,AG49,AG52)</f>
        <v>0</v>
      </c>
      <c r="AH55" s="238">
        <f>SUM(AH43,AH46,AH49,AH52)</f>
        <v>0</v>
      </c>
      <c r="AI55" s="238"/>
      <c r="AJ55" s="238">
        <f>SUM(AJ43,AJ46,AJ49,AJ52)</f>
        <v>0</v>
      </c>
      <c r="AK55" s="238">
        <f>SUM(AK43,AK46,AK49,AK52)</f>
        <v>0</v>
      </c>
      <c r="AL55" s="238"/>
      <c r="AM55" s="238">
        <f>SUM(AM43,AM46,AM49,AM52)</f>
        <v>0</v>
      </c>
      <c r="AN55" s="238">
        <f>SUM(AN43,AN46,AN49,AN52)</f>
        <v>0</v>
      </c>
      <c r="AO55" s="238"/>
      <c r="AP55" s="238">
        <f>SUM(AP43,AP46,AP49,AP52)</f>
        <v>0</v>
      </c>
      <c r="AQ55" s="238">
        <f>SUM(AQ43,AQ46,AQ49,AQ52)</f>
        <v>0</v>
      </c>
      <c r="AR55" s="238"/>
      <c r="AS55" s="238">
        <f>SUM(AS43,AS46,AS49,AS52)</f>
        <v>0</v>
      </c>
      <c r="AT55" s="238">
        <f>SUM(AT43,AT46,AT49,AT52)</f>
        <v>0</v>
      </c>
      <c r="AU55" s="238"/>
    </row>
  </sheetData>
  <mergeCells count="39">
    <mergeCell ref="AJ22:AK22"/>
    <mergeCell ref="AM22:AN22"/>
    <mergeCell ref="AP22:AQ22"/>
    <mergeCell ref="AS22:AT22"/>
    <mergeCell ref="AS3:AT3"/>
    <mergeCell ref="AJ3:AK3"/>
    <mergeCell ref="AM3:AN3"/>
    <mergeCell ref="AP3:AQ3"/>
    <mergeCell ref="I22:J22"/>
    <mergeCell ref="L22:M22"/>
    <mergeCell ref="O22:P22"/>
    <mergeCell ref="R22:S22"/>
    <mergeCell ref="U22:V22"/>
    <mergeCell ref="X22:Y22"/>
    <mergeCell ref="AA22:AB22"/>
    <mergeCell ref="AD22:AE22"/>
    <mergeCell ref="AG22:AH22"/>
    <mergeCell ref="AA3:AB3"/>
    <mergeCell ref="AD3:AE3"/>
    <mergeCell ref="AG3:AH3"/>
    <mergeCell ref="X3:Y3"/>
    <mergeCell ref="I3:J3"/>
    <mergeCell ref="L3:M3"/>
    <mergeCell ref="O3:P3"/>
    <mergeCell ref="R3:S3"/>
    <mergeCell ref="U3:V3"/>
    <mergeCell ref="I41:J41"/>
    <mergeCell ref="L41:M41"/>
    <mergeCell ref="O41:P41"/>
    <mergeCell ref="R41:S41"/>
    <mergeCell ref="U41:V41"/>
    <mergeCell ref="AM41:AN41"/>
    <mergeCell ref="AP41:AQ41"/>
    <mergeCell ref="AS41:AT41"/>
    <mergeCell ref="X41:Y41"/>
    <mergeCell ref="AA41:AB41"/>
    <mergeCell ref="AD41:AE41"/>
    <mergeCell ref="AG41:AH41"/>
    <mergeCell ref="AJ41:AK41"/>
  </mergeCells>
  <pageMargins left="0.7" right="0.7" top="0.75" bottom="0.75" header="0.3" footer="0.3"/>
  <pageSetup paperSize="9" orientation="portrait" verticalDpi="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5"/>
  <sheetViews>
    <sheetView showGridLines="0" workbookViewId="0">
      <selection activeCell="H3" sqref="H3"/>
    </sheetView>
  </sheetViews>
  <sheetFormatPr defaultRowHeight="12.75" x14ac:dyDescent="0.2"/>
  <cols>
    <col min="1" max="1" width="9.140625" style="218"/>
    <col min="2" max="2" width="11.28515625" style="218" customWidth="1"/>
    <col min="3" max="3" width="26.42578125" style="218" customWidth="1"/>
    <col min="4" max="4" width="43.7109375" style="243" customWidth="1"/>
    <col min="5" max="5" width="31.42578125" style="243" customWidth="1"/>
    <col min="6" max="16384" width="9.140625" style="218"/>
  </cols>
  <sheetData>
    <row r="1" spans="2:6" x14ac:dyDescent="0.2">
      <c r="B1" s="251" t="s">
        <v>447</v>
      </c>
      <c r="C1" s="251" t="s">
        <v>448</v>
      </c>
      <c r="D1" s="252" t="s">
        <v>327</v>
      </c>
      <c r="E1" s="252" t="s">
        <v>78</v>
      </c>
    </row>
    <row r="2" spans="2:6" ht="25.5" x14ac:dyDescent="0.2">
      <c r="B2" s="385" t="s">
        <v>420</v>
      </c>
      <c r="C2" s="249" t="s">
        <v>421</v>
      </c>
      <c r="D2" s="250" t="s">
        <v>436</v>
      </c>
      <c r="E2" s="250" t="s">
        <v>452</v>
      </c>
    </row>
    <row r="3" spans="2:6" ht="38.25" x14ac:dyDescent="0.2">
      <c r="B3" s="386"/>
      <c r="C3" s="249" t="s">
        <v>422</v>
      </c>
      <c r="D3" s="250" t="s">
        <v>437</v>
      </c>
      <c r="E3" s="250" t="s">
        <v>458</v>
      </c>
    </row>
    <row r="4" spans="2:6" ht="25.5" x14ac:dyDescent="0.2">
      <c r="B4" s="385" t="s">
        <v>423</v>
      </c>
      <c r="C4" s="249" t="s">
        <v>424</v>
      </c>
      <c r="D4" s="250" t="s">
        <v>438</v>
      </c>
      <c r="E4" s="250" t="s">
        <v>453</v>
      </c>
    </row>
    <row r="5" spans="2:6" ht="38.25" x14ac:dyDescent="0.2">
      <c r="B5" s="387"/>
      <c r="C5" s="249" t="s">
        <v>425</v>
      </c>
      <c r="D5" s="250" t="s">
        <v>439</v>
      </c>
      <c r="E5" s="250" t="s">
        <v>454</v>
      </c>
    </row>
    <row r="6" spans="2:6" ht="51" x14ac:dyDescent="0.2">
      <c r="B6" s="386"/>
      <c r="C6" s="249" t="s">
        <v>426</v>
      </c>
      <c r="D6" s="250" t="s">
        <v>440</v>
      </c>
      <c r="E6" s="250" t="s">
        <v>455</v>
      </c>
    </row>
    <row r="7" spans="2:6" ht="25.5" x14ac:dyDescent="0.2">
      <c r="B7" s="385" t="s">
        <v>217</v>
      </c>
      <c r="C7" s="292" t="s">
        <v>427</v>
      </c>
      <c r="D7" s="293" t="s">
        <v>441</v>
      </c>
      <c r="E7" s="293" t="s">
        <v>456</v>
      </c>
      <c r="F7" s="388" t="s">
        <v>482</v>
      </c>
    </row>
    <row r="8" spans="2:6" ht="51" x14ac:dyDescent="0.2">
      <c r="B8" s="387"/>
      <c r="C8" s="292" t="s">
        <v>428</v>
      </c>
      <c r="D8" s="293" t="s">
        <v>442</v>
      </c>
      <c r="E8" s="293" t="s">
        <v>456</v>
      </c>
      <c r="F8" s="388"/>
    </row>
    <row r="9" spans="2:6" ht="38.25" x14ac:dyDescent="0.2">
      <c r="B9" s="387"/>
      <c r="C9" s="292" t="s">
        <v>429</v>
      </c>
      <c r="D9" s="293" t="s">
        <v>443</v>
      </c>
      <c r="E9" s="293" t="s">
        <v>456</v>
      </c>
      <c r="F9" s="388"/>
    </row>
    <row r="10" spans="2:6" ht="25.5" x14ac:dyDescent="0.2">
      <c r="B10" s="387"/>
      <c r="C10" s="292" t="s">
        <v>430</v>
      </c>
      <c r="D10" s="293" t="s">
        <v>444</v>
      </c>
      <c r="E10" s="293" t="s">
        <v>456</v>
      </c>
      <c r="F10" s="388"/>
    </row>
    <row r="11" spans="2:6" ht="25.5" x14ac:dyDescent="0.2">
      <c r="B11" s="387"/>
      <c r="C11" s="292" t="s">
        <v>431</v>
      </c>
      <c r="D11" s="293" t="s">
        <v>445</v>
      </c>
      <c r="E11" s="293" t="s">
        <v>457</v>
      </c>
      <c r="F11" s="388"/>
    </row>
    <row r="12" spans="2:6" ht="114.75" x14ac:dyDescent="0.2">
      <c r="B12" s="387"/>
      <c r="C12" s="292" t="s">
        <v>432</v>
      </c>
      <c r="D12" s="293" t="s">
        <v>446</v>
      </c>
      <c r="E12" s="293" t="s">
        <v>459</v>
      </c>
      <c r="F12" s="388"/>
    </row>
    <row r="13" spans="2:6" x14ac:dyDescent="0.2">
      <c r="B13" s="387"/>
      <c r="C13" s="249" t="s">
        <v>433</v>
      </c>
      <c r="D13" s="250" t="s">
        <v>449</v>
      </c>
      <c r="E13" s="250" t="s">
        <v>461</v>
      </c>
    </row>
    <row r="14" spans="2:6" x14ac:dyDescent="0.2">
      <c r="B14" s="387"/>
      <c r="C14" s="249" t="s">
        <v>434</v>
      </c>
      <c r="D14" s="250" t="s">
        <v>450</v>
      </c>
      <c r="E14" s="250" t="s">
        <v>462</v>
      </c>
    </row>
    <row r="15" spans="2:6" ht="76.5" x14ac:dyDescent="0.2">
      <c r="B15" s="386"/>
      <c r="C15" s="249" t="s">
        <v>435</v>
      </c>
      <c r="D15" s="250" t="s">
        <v>451</v>
      </c>
      <c r="E15" s="250" t="s">
        <v>468</v>
      </c>
    </row>
  </sheetData>
  <mergeCells count="4">
    <mergeCell ref="B2:B3"/>
    <mergeCell ref="B4:B6"/>
    <mergeCell ref="B7:B15"/>
    <mergeCell ref="F7:F1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1.1 HR-Ho so nhan su</vt:lpstr>
      <vt:lpstr>1.2 HR-Data luong</vt:lpstr>
      <vt:lpstr>2.1 KT-Update ty le</vt:lpstr>
      <vt:lpstr>2.2 KT-THUONG</vt:lpstr>
      <vt:lpstr>2.3 KT-GIAM TRU</vt:lpstr>
      <vt:lpstr>3.1 ERP-MUC LUONG</vt:lpstr>
      <vt:lpstr>3.2 ERP-PC THAM NIEN</vt:lpstr>
      <vt:lpstr>3.3 ERP-PC LAPTOP va PC BD</vt:lpstr>
      <vt:lpstr>3.4 ERP-BHXH</vt:lpstr>
      <vt:lpstr>3.5 ERP-THUE TNCN</vt:lpstr>
      <vt:lpstr>4. ERP-BANG LUONG</vt:lpstr>
      <vt:lpstr>4. ERP-BANG LUONG v2</vt:lpstr>
      <vt:lpstr>5. ERP-Phieu luong</vt:lpstr>
      <vt:lpstr>6. ERP-Lenh chuyen luong</vt:lpstr>
      <vt:lpstr>7. ERP-Bao cao</vt:lpstr>
      <vt:lpstr>Mục lục</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ktt</dc:creator>
  <cp:lastModifiedBy>Windows User</cp:lastModifiedBy>
  <dcterms:created xsi:type="dcterms:W3CDTF">2017-07-31T03:56:41Z</dcterms:created>
  <dcterms:modified xsi:type="dcterms:W3CDTF">2018-11-07T08:16:24Z</dcterms:modified>
</cp:coreProperties>
</file>